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a9543\Desktop\"/>
    </mc:Choice>
  </mc:AlternateContent>
  <bookViews>
    <workbookView xWindow="480" yWindow="75" windowWidth="18195" windowHeight="11310" activeTab="2"/>
  </bookViews>
  <sheets>
    <sheet name="Header" sheetId="6" r:id="rId1"/>
    <sheet name="Process Flow" sheetId="4" r:id="rId2"/>
    <sheet name="pfmea" sheetId="1" r:id="rId3"/>
    <sheet name="Control Plan" sheetId="5" r:id="rId4"/>
  </sheets>
  <externalReferences>
    <externalReference r:id="rId5"/>
  </externalReferences>
  <definedNames>
    <definedName name="_xlnm.Print_Area" localSheetId="0">Header!$A$1:$Q$48</definedName>
    <definedName name="_xlnm.Print_Area" localSheetId="1">'Process Flow'!$A$1:$I$27</definedName>
    <definedName name="_xlnm.Print_Titles" localSheetId="3">'Control Plan'!$7:$10</definedName>
  </definedNames>
  <calcPr calcId="162913"/>
</workbook>
</file>

<file path=xl/calcChain.xml><?xml version="1.0" encoding="utf-8"?>
<calcChain xmlns="http://schemas.openxmlformats.org/spreadsheetml/2006/main">
  <c r="N36" i="5" l="1"/>
  <c r="M36" i="5"/>
  <c r="G36" i="5"/>
  <c r="N35" i="5"/>
  <c r="M35" i="5"/>
  <c r="G35" i="5"/>
  <c r="N34" i="5"/>
  <c r="M34" i="5"/>
  <c r="G34" i="5"/>
  <c r="F34" i="5"/>
  <c r="D34" i="5"/>
  <c r="B34" i="5"/>
  <c r="A34" i="5"/>
  <c r="N33" i="5"/>
  <c r="M33" i="5"/>
  <c r="G33" i="5"/>
  <c r="N32" i="5"/>
  <c r="M32" i="5"/>
  <c r="G32" i="5"/>
  <c r="N31" i="5"/>
  <c r="M31" i="5"/>
  <c r="G31" i="5"/>
  <c r="N30" i="5"/>
  <c r="M30" i="5"/>
  <c r="G30" i="5"/>
  <c r="N29" i="5"/>
  <c r="M29" i="5"/>
  <c r="G29" i="5"/>
  <c r="N28" i="5"/>
  <c r="M28" i="5"/>
  <c r="G28" i="5"/>
  <c r="F28" i="5"/>
  <c r="D28" i="5"/>
  <c r="B28" i="5"/>
  <c r="A28" i="5"/>
  <c r="N27" i="5"/>
  <c r="M27" i="5"/>
  <c r="G27" i="5"/>
  <c r="N26" i="5"/>
  <c r="M26" i="5"/>
  <c r="G26" i="5"/>
  <c r="N25" i="5"/>
  <c r="M25" i="5"/>
  <c r="G25" i="5"/>
  <c r="F25" i="5"/>
  <c r="D25" i="5"/>
  <c r="B25" i="5"/>
  <c r="A25" i="5"/>
  <c r="N24" i="5"/>
  <c r="M24" i="5"/>
  <c r="G24" i="5"/>
  <c r="N23" i="5"/>
  <c r="M23" i="5"/>
  <c r="G23" i="5"/>
  <c r="F23" i="5"/>
  <c r="D23" i="5"/>
  <c r="B23" i="5"/>
  <c r="A23" i="5"/>
  <c r="N22" i="5"/>
  <c r="M22" i="5"/>
  <c r="G22" i="5"/>
  <c r="N21" i="5"/>
  <c r="M21" i="5"/>
  <c r="G21" i="5"/>
  <c r="N20" i="5"/>
  <c r="M20" i="5"/>
  <c r="G20" i="5"/>
  <c r="N19" i="5"/>
  <c r="M19" i="5"/>
  <c r="G19" i="5"/>
  <c r="F19" i="5"/>
  <c r="D19" i="5"/>
  <c r="B19" i="5"/>
  <c r="A19" i="5"/>
  <c r="N18" i="5"/>
  <c r="M18" i="5"/>
  <c r="G18" i="5"/>
  <c r="N17" i="5"/>
  <c r="M17" i="5"/>
  <c r="G17" i="5"/>
  <c r="N16" i="5"/>
  <c r="M16" i="5"/>
  <c r="G16" i="5"/>
  <c r="N15" i="5"/>
  <c r="M15" i="5"/>
  <c r="G15" i="5"/>
  <c r="N14" i="5"/>
  <c r="M14" i="5"/>
  <c r="G14" i="5"/>
  <c r="N13" i="5"/>
  <c r="M13" i="5"/>
  <c r="G13" i="5"/>
  <c r="F13" i="5"/>
  <c r="D13" i="5"/>
  <c r="B13" i="5"/>
  <c r="A13" i="5"/>
  <c r="N11" i="5"/>
  <c r="M11" i="5"/>
  <c r="G11" i="5"/>
  <c r="F11" i="5"/>
  <c r="D11" i="5"/>
  <c r="P5" i="5"/>
  <c r="F5" i="5"/>
  <c r="C5" i="5"/>
  <c r="G4" i="5"/>
  <c r="C4" i="5"/>
  <c r="F3" i="5"/>
  <c r="C3" i="5"/>
  <c r="K2" i="5"/>
  <c r="F2" i="5"/>
  <c r="C2" i="5"/>
  <c r="K1" i="5"/>
  <c r="F1" i="5"/>
  <c r="C1" i="5"/>
  <c r="D19" i="4"/>
  <c r="D18" i="4"/>
  <c r="D17" i="4"/>
  <c r="D16" i="4"/>
  <c r="D15" i="4"/>
  <c r="D14" i="4"/>
  <c r="H12" i="4"/>
  <c r="B7" i="4"/>
  <c r="B6" i="4"/>
  <c r="B5" i="4"/>
  <c r="B4" i="4"/>
  <c r="B3" i="4"/>
  <c r="B2" i="4"/>
  <c r="B1" i="4"/>
  <c r="M30" i="1"/>
  <c r="H30" i="1"/>
  <c r="M29" i="1"/>
  <c r="H29" i="1"/>
  <c r="F29" i="1"/>
  <c r="G30" i="1" s="1"/>
  <c r="E29" i="1"/>
  <c r="M28" i="1"/>
  <c r="H28" i="1"/>
  <c r="F28" i="1"/>
  <c r="G28" i="1" s="1"/>
  <c r="E28" i="1"/>
  <c r="B28" i="1"/>
  <c r="A28" i="1"/>
  <c r="C28" i="1" s="1"/>
  <c r="M27" i="1"/>
  <c r="H27" i="1"/>
  <c r="F27" i="1"/>
  <c r="G27" i="1" s="1"/>
  <c r="E27" i="1"/>
  <c r="M26" i="1"/>
  <c r="H26" i="1"/>
  <c r="M25" i="1"/>
  <c r="H25" i="1"/>
  <c r="F25" i="1"/>
  <c r="G25" i="1" s="1"/>
  <c r="E25" i="1"/>
  <c r="M24" i="1"/>
  <c r="H24" i="1"/>
  <c r="M23" i="1"/>
  <c r="H23" i="1"/>
  <c r="F23" i="1"/>
  <c r="G23" i="1" s="1"/>
  <c r="E23" i="1"/>
  <c r="M22" i="1"/>
  <c r="H22" i="1"/>
  <c r="F22" i="1"/>
  <c r="G22" i="1" s="1"/>
  <c r="E22" i="1"/>
  <c r="B22" i="1"/>
  <c r="A22" i="1"/>
  <c r="C22" i="1" s="1"/>
  <c r="M21" i="1"/>
  <c r="H21" i="1"/>
  <c r="F21" i="1"/>
  <c r="G21" i="1" s="1"/>
  <c r="E21" i="1"/>
  <c r="H20" i="1"/>
  <c r="F20" i="1"/>
  <c r="G20" i="1" s="1"/>
  <c r="E20" i="1"/>
  <c r="H19" i="1"/>
  <c r="F19" i="1"/>
  <c r="M12" i="1" s="1"/>
  <c r="E19" i="1"/>
  <c r="B19" i="1"/>
  <c r="A19" i="1"/>
  <c r="C19" i="1" s="1"/>
  <c r="M18" i="1"/>
  <c r="H18" i="1"/>
  <c r="F18" i="1"/>
  <c r="G18" i="1" s="1"/>
  <c r="E18" i="1"/>
  <c r="M17" i="1"/>
  <c r="H17" i="1"/>
  <c r="F17" i="1"/>
  <c r="G17" i="1" s="1"/>
  <c r="E17" i="1"/>
  <c r="B17" i="1"/>
  <c r="A17" i="1"/>
  <c r="C17" i="1" s="1"/>
  <c r="H16" i="1"/>
  <c r="M15" i="1"/>
  <c r="H15" i="1"/>
  <c r="F15" i="1"/>
  <c r="G16" i="1" s="1"/>
  <c r="E15" i="1"/>
  <c r="M14" i="1"/>
  <c r="H14" i="1"/>
  <c r="H13" i="1"/>
  <c r="F13" i="1"/>
  <c r="G14" i="1" s="1"/>
  <c r="E13" i="1"/>
  <c r="B13" i="1"/>
  <c r="A13" i="1"/>
  <c r="C13" i="1" s="1"/>
  <c r="H12" i="1"/>
  <c r="H11" i="1"/>
  <c r="F11" i="1"/>
  <c r="G11" i="1" s="1"/>
  <c r="E11" i="1"/>
  <c r="H10" i="1"/>
  <c r="H9" i="1"/>
  <c r="F9" i="1"/>
  <c r="G9" i="1" s="1"/>
  <c r="E9" i="1"/>
  <c r="H8" i="1"/>
  <c r="M7" i="1"/>
  <c r="H7" i="1"/>
  <c r="F7" i="1"/>
  <c r="G7" i="1" s="1"/>
  <c r="E7" i="1"/>
  <c r="B7" i="1"/>
  <c r="A7" i="1"/>
  <c r="C7" i="1" s="1"/>
  <c r="M10" i="1" l="1"/>
  <c r="M11" i="1"/>
  <c r="G13" i="1"/>
  <c r="G19" i="1"/>
  <c r="M8" i="1"/>
  <c r="M9" i="1"/>
  <c r="G15" i="1"/>
  <c r="M16" i="1"/>
  <c r="M19" i="1"/>
  <c r="G29" i="1"/>
  <c r="M13" i="1"/>
  <c r="G24" i="1"/>
  <c r="G26" i="1"/>
  <c r="G8" i="1"/>
  <c r="G10" i="1"/>
  <c r="G12" i="1"/>
  <c r="M20" i="1"/>
</calcChain>
</file>

<file path=xl/comments1.xml><?xml version="1.0" encoding="utf-8"?>
<comments xmlns="http://schemas.openxmlformats.org/spreadsheetml/2006/main">
  <authors>
    <author>A Thorpe</author>
  </authors>
  <commentList>
    <comment ref="E6" authorId="0" shapeId="0">
      <text>
        <r>
          <rPr>
            <b/>
            <sz val="8"/>
            <color indexed="81"/>
            <rFont val="Tahoma"/>
            <family val="2"/>
          </rPr>
          <t>Enter Company name Will be placed on all prints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 shapeId="0">
      <text>
        <r>
          <rPr>
            <b/>
            <sz val="8"/>
            <color indexed="81"/>
            <rFont val="Tahoma"/>
            <family val="2"/>
          </rPr>
          <t>Unique identifying number for PFMEA - Must follow company procedures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Current Issue number of PFMEA</t>
        </r>
      </text>
    </comment>
    <comment ref="K8" authorId="0" shapeId="0">
      <text>
        <r>
          <rPr>
            <b/>
            <sz val="8"/>
            <color indexed="81"/>
            <rFont val="Tahoma"/>
            <family val="2"/>
          </rPr>
          <t>Date original PFMEA was compiled</t>
        </r>
      </text>
    </comment>
    <comment ref="N8" authorId="0" shapeId="0">
      <text>
        <r>
          <rPr>
            <b/>
            <sz val="8"/>
            <color indexed="81"/>
            <rFont val="Tahoma"/>
            <family val="2"/>
          </rPr>
          <t>Latest Revision  date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Unique identifying number for Control Plan - Must follow company procedures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0" authorId="0" shapeId="0">
      <text>
        <r>
          <rPr>
            <b/>
            <sz val="8"/>
            <color indexed="81"/>
            <rFont val="Tahoma"/>
            <family val="2"/>
          </rPr>
          <t>Current Issue number of Control Plan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0" authorId="0" shapeId="0">
      <text>
        <r>
          <rPr>
            <b/>
            <sz val="8"/>
            <color indexed="81"/>
            <rFont val="Tahoma"/>
            <family val="2"/>
          </rPr>
          <t>Date original Control Plan was compiled</t>
        </r>
      </text>
    </comment>
    <comment ref="N10" authorId="0" shapeId="0">
      <text>
        <r>
          <rPr>
            <b/>
            <sz val="8"/>
            <color indexed="81"/>
            <rFont val="Tahoma"/>
            <family val="2"/>
          </rPr>
          <t>Date of current revision of Control Plan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>Part / Item number or reference</t>
        </r>
      </text>
    </comment>
    <comment ref="I12" authorId="0" shapeId="0">
      <text>
        <r>
          <rPr>
            <b/>
            <sz val="8"/>
            <color indexed="81"/>
            <rFont val="Tahoma"/>
            <family val="2"/>
          </rPr>
          <t>Customer Model Year (s) &amp; Model Name(s) That will be affected by this PFMEA</t>
        </r>
      </text>
    </comment>
    <comment ref="N12" authorId="0" shapeId="0">
      <text>
        <r>
          <rPr>
            <b/>
            <sz val="8"/>
            <color indexed="81"/>
            <rFont val="Tahoma"/>
            <family val="2"/>
          </rPr>
          <t>Enter Build / PSW date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Latest release or change level for part if applicable</t>
        </r>
      </text>
    </comment>
    <comment ref="H16" authorId="0" shapeId="0">
      <text>
        <r>
          <rPr>
            <b/>
            <sz val="8"/>
            <color indexed="81"/>
            <rFont val="Tahoma"/>
            <family val="2"/>
          </rPr>
          <t>Part name or description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Person Responsible for Preparing Document</t>
        </r>
      </text>
    </comment>
    <comment ref="H18" authorId="0" shapeId="0">
      <text>
        <r>
          <rPr>
            <b/>
            <sz val="8"/>
            <color indexed="81"/>
            <rFont val="Tahoma"/>
            <family val="2"/>
          </rPr>
          <t>Core Team Members &amp; Departments</t>
        </r>
      </text>
    </comment>
    <comment ref="C20" authorId="0" shapeId="0">
      <text>
        <r>
          <rPr>
            <b/>
            <sz val="8"/>
            <color indexed="81"/>
            <rFont val="Tahoma"/>
            <family val="2"/>
          </rPr>
          <t>Key contact for Control Plan</t>
        </r>
      </text>
    </comment>
    <comment ref="H20" authorId="0" shapeId="0">
      <text>
        <r>
          <rPr>
            <b/>
            <sz val="8"/>
            <color indexed="81"/>
            <rFont val="Tahoma"/>
            <family val="2"/>
          </rPr>
          <t>Number for Key contact</t>
        </r>
      </text>
    </comment>
    <comment ref="L20" authorId="0" shapeId="0">
      <text>
        <r>
          <rPr>
            <b/>
            <sz val="8"/>
            <color indexed="81"/>
            <rFont val="Tahoma"/>
            <family val="2"/>
          </rPr>
          <t>Supplier Name &amp; Location</t>
        </r>
      </text>
    </comment>
    <comment ref="C33" authorId="0" shapeId="0">
      <text>
        <r>
          <rPr>
            <b/>
            <sz val="10"/>
            <color indexed="81"/>
            <rFont val="Tahoma"/>
            <family val="2"/>
          </rPr>
          <t>Select the applicable row in the table.
If your requirements differ select bottom row &amp; add the required parameters</t>
        </r>
      </text>
    </comment>
  </commentList>
</comments>
</file>

<file path=xl/sharedStrings.xml><?xml version="1.0" encoding="utf-8"?>
<sst xmlns="http://schemas.openxmlformats.org/spreadsheetml/2006/main" count="301" uniqueCount="192">
  <si>
    <t>Characteristic No.</t>
  </si>
  <si>
    <t>Process Function/ Requirements</t>
  </si>
  <si>
    <t>Operation No.</t>
  </si>
  <si>
    <t>Potential Failure Mode</t>
  </si>
  <si>
    <t>Potential Effect(s) of Failure</t>
  </si>
  <si>
    <t>Severity</t>
  </si>
  <si>
    <t>Class</t>
  </si>
  <si>
    <t>Potential Cause(s)/ Mechanism(s) of Failure</t>
  </si>
  <si>
    <t>Occurance</t>
  </si>
  <si>
    <t>Current Process Controls</t>
  </si>
  <si>
    <t>Detection</t>
  </si>
  <si>
    <t>R.P.N.</t>
  </si>
  <si>
    <t>Prevention</t>
  </si>
  <si>
    <t>None</t>
  </si>
  <si>
    <t>Pipe not bent to specification</t>
  </si>
  <si>
    <t xml:space="preserve">SOP. Skills matrix. </t>
  </si>
  <si>
    <t>1st off &amp; 4 off checks in bend inspection gauge per shift</t>
  </si>
  <si>
    <t>Pipe splits</t>
  </si>
  <si>
    <t>Visual check.  100% leak test on future operation</t>
  </si>
  <si>
    <t>Ripples on pipe</t>
  </si>
  <si>
    <t>Double visual inspection</t>
  </si>
  <si>
    <t>Pipe length cut too short</t>
  </si>
  <si>
    <t>Pipe length cut too long</t>
  </si>
  <si>
    <t>Pipe not de-burred</t>
  </si>
  <si>
    <t xml:space="preserve">Double visual inspection 100%. </t>
  </si>
  <si>
    <t>Pipe uneven de-burred</t>
  </si>
  <si>
    <t>Pipe not endformed</t>
  </si>
  <si>
    <t>Cannot assemble with upper pipe for welding</t>
  </si>
  <si>
    <t>Pipe formed undersize</t>
  </si>
  <si>
    <t>Pipe formed oversize</t>
  </si>
  <si>
    <t>100% leak test on future operation</t>
  </si>
  <si>
    <t>Pipe not end formed</t>
  </si>
  <si>
    <t>Cannot EOL leak test system</t>
  </si>
  <si>
    <t>SOP. Skills matrix.</t>
  </si>
  <si>
    <t>1st off &amp; 4 off per shift with Go-No go gauge on bend gauge</t>
  </si>
  <si>
    <t>Formed surfaces with scoring</t>
  </si>
  <si>
    <t>Pipe not washed</t>
  </si>
  <si>
    <t>Pipe not washed to specifications</t>
  </si>
  <si>
    <t>Date:</t>
  </si>
  <si>
    <t>PLANNING DOCUMENT</t>
  </si>
  <si>
    <t>Originator:</t>
  </si>
  <si>
    <t>Project:</t>
  </si>
  <si>
    <t>Part No.:</t>
  </si>
  <si>
    <t>Release No.:</t>
  </si>
  <si>
    <t>Project Ref:</t>
  </si>
  <si>
    <t>Sheet</t>
  </si>
  <si>
    <t>1 of 1</t>
  </si>
  <si>
    <t>Last Revision:</t>
  </si>
  <si>
    <t>SOURCES OF VARIATION</t>
  </si>
  <si>
    <t>PROCESS IDENTIFICATION</t>
  </si>
  <si>
    <t>Process No.</t>
  </si>
  <si>
    <t>GRAPHICAL PROCESS FLOW</t>
  </si>
  <si>
    <t>PRODUCT OUTCOMES</t>
  </si>
  <si>
    <t>CNC Pipe Bender</t>
  </si>
  <si>
    <t>Bend 34.9mm lower pipe</t>
  </si>
  <si>
    <t xml:space="preserve">Pipe formed to bend gauge </t>
  </si>
  <si>
    <t>Saw</t>
  </si>
  <si>
    <t>Trim pipe to length</t>
  </si>
  <si>
    <t>Pipe cut to required length</t>
  </si>
  <si>
    <t>De-burr</t>
  </si>
  <si>
    <t>Pipe de-burred to remove burrs &amp; sharp edges</t>
  </si>
  <si>
    <t>Endformer</t>
  </si>
  <si>
    <t>Size Pipe</t>
  </si>
  <si>
    <t>Pipe endformed for roundness to ensure fitment of upper pipe</t>
  </si>
  <si>
    <t xml:space="preserve"> Rotary Endformer</t>
  </si>
  <si>
    <t>End form pipe</t>
  </si>
  <si>
    <t>Lower pipe sized for outlet form to specification on hose assy and anti-siphon valve</t>
  </si>
  <si>
    <t>SafetyKleen box wash</t>
  </si>
  <si>
    <t>Wash pipe</t>
  </si>
  <si>
    <t>Pipe meets cleanliness spec : Particle size not to exceed 400 Microns /0.6MG when measured in accordance with LRLTM.30.DD.103</t>
  </si>
  <si>
    <t>Scrap &amp; Rework to follow Procedure BOS-O-P-005</t>
  </si>
  <si>
    <t>Key Date:</t>
  </si>
  <si>
    <t>Item Name:</t>
  </si>
  <si>
    <t>FMEA No. :</t>
  </si>
  <si>
    <t>Release Number:</t>
  </si>
  <si>
    <t>Control Plan</t>
  </si>
  <si>
    <t>Issue Number:</t>
  </si>
  <si>
    <t>Process Responsibility:</t>
  </si>
  <si>
    <t>Core Team:</t>
  </si>
  <si>
    <t>Part/ Process No.</t>
  </si>
  <si>
    <t>Process name/ Operation description</t>
  </si>
  <si>
    <t>Machine, Device, Jig, Tools for Manufacturing</t>
  </si>
  <si>
    <t>Characteristics</t>
  </si>
  <si>
    <t>Special Char. Class</t>
  </si>
  <si>
    <t>Methods</t>
  </si>
  <si>
    <t>Reaction Plan / Corrective Action</t>
  </si>
  <si>
    <t>Op. No.</t>
  </si>
  <si>
    <t>Product</t>
  </si>
  <si>
    <t>Process</t>
  </si>
  <si>
    <t>Product/Process Specification/ Tolerance</t>
  </si>
  <si>
    <t>Evaluation/ Measurment Technique</t>
  </si>
  <si>
    <t>Gauge R &amp; R</t>
  </si>
  <si>
    <t>Sample</t>
  </si>
  <si>
    <t>Control Method</t>
  </si>
  <si>
    <t>Size</t>
  </si>
  <si>
    <t>Frequency</t>
  </si>
  <si>
    <t>Program to be used L405 Lower</t>
  </si>
  <si>
    <t>Visual</t>
  </si>
  <si>
    <t>First off</t>
  </si>
  <si>
    <t>Part must be bent correctly</t>
  </si>
  <si>
    <t>Check with gauge E16317
EGS14825</t>
  </si>
  <si>
    <t>No splits in pipe</t>
  </si>
  <si>
    <t>100
%</t>
  </si>
  <si>
    <t>Tooling must not be worn or damaged</t>
  </si>
  <si>
    <t>No ripples greater than 2mm</t>
  </si>
  <si>
    <t>Setting to be correct to SOP</t>
  </si>
  <si>
    <t>Saw tooling must not be worn or damaged</t>
  </si>
  <si>
    <t>Visual
TPM</t>
  </si>
  <si>
    <t>Pipe must be cut to correct length</t>
  </si>
  <si>
    <t>Pipe must be fully/evenly deburred</t>
  </si>
  <si>
    <t>Pipe must be end formed</t>
  </si>
  <si>
    <t>Pipe must be endformed to correct size</t>
  </si>
  <si>
    <t>Vernier</t>
  </si>
  <si>
    <t>Pipe must be endformed to external 39.5mm+/-1mm</t>
  </si>
  <si>
    <t>Pipe must be endformed to external 33.1mm+/-1mm</t>
  </si>
  <si>
    <t>No scoring permitted</t>
  </si>
  <si>
    <t>Pipe must conform to cleanliness specified on drawing AUE0176-03</t>
  </si>
  <si>
    <t>Visual
Cleanliness test</t>
  </si>
  <si>
    <t>100
%
1</t>
  </si>
  <si>
    <t>100%
Annual</t>
  </si>
  <si>
    <t>Detergent mixture to be correct to SOP</t>
  </si>
  <si>
    <t>Visual
TPM</t>
  </si>
  <si>
    <t>100%
1stoff, 4 per shift</t>
  </si>
  <si>
    <t>Water to be kept clean</t>
  </si>
  <si>
    <t>FAILURE MODE AND EFFECTS ANALYSIS</t>
  </si>
  <si>
    <t>PROCESS FMEA</t>
  </si>
  <si>
    <t>Header information sheet for the Process Flow, FMEA &amp; Control Plan</t>
  </si>
  <si>
    <t>Company Name</t>
  </si>
  <si>
    <t>UNIPART POWERTRAIN APPLICATIONS</t>
  </si>
  <si>
    <t xml:space="preserve">FMEA number  </t>
  </si>
  <si>
    <t>PFMEA 00293</t>
  </si>
  <si>
    <t>Issue number</t>
  </si>
  <si>
    <t>Date  -  Original</t>
  </si>
  <si>
    <t>Date  -  Last revision</t>
  </si>
  <si>
    <t xml:space="preserve">Control Plan number  </t>
  </si>
  <si>
    <t>CP 00293</t>
  </si>
  <si>
    <t xml:space="preserve">Part number  </t>
  </si>
  <si>
    <t>BUE0063</t>
  </si>
  <si>
    <t xml:space="preserve">Model year (s) / Vehicle (s)  </t>
  </si>
  <si>
    <t>MY17</t>
  </si>
  <si>
    <t xml:space="preserve">Key date  </t>
  </si>
  <si>
    <t xml:space="preserve">Supplier name  </t>
  </si>
  <si>
    <t>UPA</t>
  </si>
  <si>
    <t>Project</t>
  </si>
  <si>
    <t>L405 NAS TS DD</t>
  </si>
  <si>
    <t xml:space="preserve">Latest change level  </t>
  </si>
  <si>
    <t>UEP2E50159129000</t>
  </si>
  <si>
    <t>Part name</t>
  </si>
  <si>
    <t>GPLA-9032-AC</t>
  </si>
  <si>
    <t xml:space="preserve">Prepared by  </t>
  </si>
  <si>
    <t>TL</t>
  </si>
  <si>
    <t>Core team</t>
  </si>
  <si>
    <t>SE - PROJ MAN, KW - QUALITY, TL - MAN ENG, KH - DESIGN</t>
  </si>
  <si>
    <t xml:space="preserve">Key contact  </t>
  </si>
  <si>
    <t>KW</t>
  </si>
  <si>
    <t>Phone number</t>
  </si>
  <si>
    <t xml:space="preserve">Process responsibility  </t>
  </si>
  <si>
    <t xml:space="preserve">Supplier plant / Location </t>
  </si>
  <si>
    <t>Coventry - UK</t>
  </si>
  <si>
    <t>Supplier code</t>
  </si>
  <si>
    <t>CJCGA</t>
  </si>
  <si>
    <t>Project ref</t>
  </si>
  <si>
    <t>Bend lower 34.9mm pipe</t>
  </si>
  <si>
    <t xml:space="preserve">Supplier / Plant Approval - Date  </t>
  </si>
  <si>
    <t>Customer Engineering Approval - Date ( If Req'd )</t>
  </si>
  <si>
    <t xml:space="preserve">Other Approval - Date ( If Req'd. )  </t>
  </si>
  <si>
    <t>Customer Quality Approval - Date ( If Req'd )</t>
  </si>
  <si>
    <t>Special Characteristics Classification Criteria</t>
  </si>
  <si>
    <t>Critical Characteristic</t>
  </si>
  <si>
    <t>Significant Characteristic</t>
  </si>
  <si>
    <t>Select</t>
  </si>
  <si>
    <r>
      <t>Severity</t>
    </r>
    <r>
      <rPr>
        <sz val="11"/>
        <color theme="1"/>
        <rFont val="Calibri"/>
        <family val="2"/>
        <scheme val="minor"/>
      </rPr>
      <t xml:space="preserve">
= or more</t>
    </r>
  </si>
  <si>
    <r>
      <t>Occurrence</t>
    </r>
    <r>
      <rPr>
        <sz val="11"/>
        <color theme="1"/>
        <rFont val="Calibri"/>
        <family val="2"/>
        <scheme val="minor"/>
      </rPr>
      <t xml:space="preserve"> more than</t>
    </r>
  </si>
  <si>
    <r>
      <t>Detection</t>
    </r>
    <r>
      <rPr>
        <sz val="11"/>
        <color theme="1"/>
        <rFont val="Calibri"/>
        <family val="2"/>
        <scheme val="minor"/>
      </rPr>
      <t xml:space="preserve">
more than</t>
    </r>
  </si>
  <si>
    <r>
      <t>Severity</t>
    </r>
    <r>
      <rPr>
        <sz val="11"/>
        <color theme="1"/>
        <rFont val="Calibri"/>
        <family val="2"/>
        <scheme val="minor"/>
      </rPr>
      <t xml:space="preserve">
from</t>
    </r>
  </si>
  <si>
    <r>
      <t>Severity</t>
    </r>
    <r>
      <rPr>
        <sz val="11"/>
        <color theme="1"/>
        <rFont val="Calibri"/>
        <family val="2"/>
        <scheme val="minor"/>
      </rPr>
      <t xml:space="preserve">
to</t>
    </r>
  </si>
  <si>
    <r>
      <t>Occurrence</t>
    </r>
    <r>
      <rPr>
        <sz val="11"/>
        <color theme="1"/>
        <rFont val="Calibri"/>
        <family val="2"/>
        <scheme val="minor"/>
      </rPr>
      <t xml:space="preserve">
more than</t>
    </r>
  </si>
  <si>
    <t>Designation</t>
  </si>
  <si>
    <t>Ford</t>
  </si>
  <si>
    <t>X</t>
  </si>
  <si>
    <t>CC</t>
  </si>
  <si>
    <t>SC</t>
  </si>
  <si>
    <t>Renault</t>
  </si>
  <si>
    <t>C</t>
  </si>
  <si>
    <t>S</t>
  </si>
  <si>
    <t>Other</t>
  </si>
  <si>
    <r>
      <t xml:space="preserve">Note: </t>
    </r>
    <r>
      <rPr>
        <sz val="11"/>
        <color theme="1"/>
        <rFont val="Calibri"/>
        <family val="2"/>
        <scheme val="minor"/>
      </rPr>
      <t>This information is cascaded onto the various document headers and must be completed in full to avoid incomplete documents being produced</t>
    </r>
  </si>
  <si>
    <t>`</t>
  </si>
  <si>
    <t>Control Plan Level</t>
  </si>
  <si>
    <t>Prototype</t>
  </si>
  <si>
    <t>Pre-Launch</t>
  </si>
  <si>
    <t>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</si>
</sst>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7" x14ac:knownFonts="1">
    <font>
      <sz val="11"/>
      <color theme="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color indexed="10"/>
      <name val="Times New Roman"/>
      <family val="1"/>
    </font>
    <font>
      <sz val="12"/>
      <name val="Times New Roman"/>
      <family val="1"/>
    </font>
    <font>
      <b/>
      <sz val="26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4"/>
      <name val="Arial"/>
      <family val="2"/>
    </font>
    <font>
      <b/>
      <u/>
      <sz val="16"/>
      <name val="Arial"/>
      <family val="2"/>
    </font>
    <font>
      <b/>
      <u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215">
    <xf numFmtId="0" fontId="0" fillId="0" borderId="0" xfId="0"/>
    <xf numFmtId="0" fontId="0" fillId="0" borderId="6" xfId="0" applyBorder="1" applyAlignment="1">
      <alignment horizontal="center" vertical="top"/>
    </xf>
    <xf numFmtId="0" fontId="0" fillId="0" borderId="6" xfId="0" applyBorder="1" applyAlignment="1">
      <alignment horizontal="left" vertical="top" wrapText="1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center" vertical="top"/>
      <protection locked="0"/>
    </xf>
    <xf numFmtId="0" fontId="0" fillId="0" borderId="6" xfId="0" applyBorder="1" applyAlignment="1" applyProtection="1">
      <alignment vertical="top" wrapText="1"/>
      <protection locked="0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2" fillId="0" borderId="6" xfId="0" applyFont="1" applyBorder="1" applyAlignment="1" applyProtection="1">
      <alignment vertical="top" wrapText="1"/>
      <protection locked="0"/>
    </xf>
    <xf numFmtId="0" fontId="2" fillId="0" borderId="6" xfId="0" applyFont="1" applyBorder="1" applyAlignment="1" applyProtection="1">
      <alignment horizontal="left" vertical="top" wrapText="1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>
      <alignment horizontal="left" vertical="top" wrapText="1"/>
    </xf>
    <xf numFmtId="0" fontId="0" fillId="0" borderId="12" xfId="0" applyBorder="1" applyAlignment="1">
      <alignment horizontal="center" vertical="top" wrapText="1"/>
    </xf>
    <xf numFmtId="0" fontId="1" fillId="0" borderId="13" xfId="1" applyFont="1" applyBorder="1" applyAlignment="1"/>
    <xf numFmtId="164" fontId="1" fillId="0" borderId="14" xfId="1" quotePrefix="1" applyNumberFormat="1" applyFont="1" applyBorder="1" applyAlignment="1">
      <alignment horizontal="center"/>
    </xf>
    <xf numFmtId="0" fontId="4" fillId="0" borderId="15" xfId="1" applyFont="1" applyBorder="1" applyAlignment="1">
      <alignment horizontal="center"/>
    </xf>
    <xf numFmtId="0" fontId="4" fillId="0" borderId="16" xfId="1" applyFont="1" applyBorder="1" applyAlignment="1">
      <alignment horizontal="center"/>
    </xf>
    <xf numFmtId="0" fontId="7" fillId="0" borderId="0" xfId="1" applyAlignment="1">
      <alignment horizontal="center"/>
    </xf>
    <xf numFmtId="0" fontId="7" fillId="0" borderId="0" xfId="1"/>
    <xf numFmtId="0" fontId="7" fillId="0" borderId="0" xfId="1" applyProtection="1">
      <protection locked="0"/>
    </xf>
    <xf numFmtId="0" fontId="1" fillId="0" borderId="17" xfId="1" applyFont="1" applyBorder="1" applyAlignment="1"/>
    <xf numFmtId="0" fontId="1" fillId="0" borderId="18" xfId="1" applyFont="1" applyBorder="1" applyAlignment="1">
      <alignment horizontal="center"/>
    </xf>
    <xf numFmtId="0" fontId="7" fillId="0" borderId="0" xfId="1" applyBorder="1"/>
    <xf numFmtId="0" fontId="5" fillId="0" borderId="0" xfId="1" applyFont="1" applyBorder="1" applyAlignment="1">
      <alignment vertical="center"/>
    </xf>
    <xf numFmtId="0" fontId="4" fillId="0" borderId="0" xfId="1" applyFont="1" applyBorder="1" applyAlignment="1">
      <alignment horizontal="center"/>
    </xf>
    <xf numFmtId="0" fontId="4" fillId="0" borderId="19" xfId="1" applyFont="1" applyBorder="1" applyAlignment="1">
      <alignment horizontal="center"/>
    </xf>
    <xf numFmtId="0" fontId="1" fillId="0" borderId="0" xfId="1" applyFont="1" applyBorder="1" applyAlignment="1">
      <alignment horizontal="right"/>
    </xf>
    <xf numFmtId="0" fontId="1" fillId="0" borderId="20" xfId="1" applyFont="1" applyBorder="1" applyAlignment="1" applyProtection="1">
      <alignment horizontal="center"/>
      <protection locked="0"/>
    </xf>
    <xf numFmtId="0" fontId="6" fillId="0" borderId="21" xfId="1" applyFont="1" applyBorder="1" applyAlignment="1"/>
    <xf numFmtId="164" fontId="1" fillId="0" borderId="22" xfId="1" applyNumberFormat="1" applyFont="1" applyBorder="1" applyAlignment="1" applyProtection="1">
      <alignment horizontal="center"/>
      <protection locked="0"/>
    </xf>
    <xf numFmtId="0" fontId="7" fillId="0" borderId="23" xfId="1" applyBorder="1"/>
    <xf numFmtId="0" fontId="7" fillId="0" borderId="24" xfId="1" applyBorder="1"/>
    <xf numFmtId="0" fontId="7" fillId="0" borderId="25" xfId="1" applyBorder="1"/>
    <xf numFmtId="0" fontId="7" fillId="0" borderId="26" xfId="1" applyBorder="1"/>
    <xf numFmtId="0" fontId="7" fillId="0" borderId="27" xfId="1" applyBorder="1"/>
    <xf numFmtId="0" fontId="7" fillId="0" borderId="3" xfId="1" applyBorder="1"/>
    <xf numFmtId="0" fontId="7" fillId="0" borderId="4" xfId="1" applyBorder="1"/>
    <xf numFmtId="0" fontId="7" fillId="0" borderId="0" xfId="1" applyBorder="1" applyAlignment="1">
      <alignment horizontal="left" vertical="top" wrapText="1"/>
    </xf>
    <xf numFmtId="0" fontId="7" fillId="0" borderId="7" xfId="1" applyBorder="1"/>
    <xf numFmtId="0" fontId="7" fillId="0" borderId="28" xfId="1" applyBorder="1" applyAlignment="1">
      <alignment horizontal="left" vertical="top" wrapText="1"/>
    </xf>
    <xf numFmtId="0" fontId="7" fillId="0" borderId="8" xfId="1" applyBorder="1"/>
    <xf numFmtId="0" fontId="1" fillId="0" borderId="6" xfId="1" applyFont="1" applyBorder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Alignment="1" applyProtection="1">
      <alignment vertical="center"/>
      <protection locked="0"/>
    </xf>
    <xf numFmtId="0" fontId="1" fillId="0" borderId="26" xfId="1" applyFont="1" applyBorder="1" applyAlignment="1">
      <alignment horizontal="center" vertical="center"/>
    </xf>
    <xf numFmtId="0" fontId="1" fillId="0" borderId="0" xfId="1" applyFont="1" applyBorder="1" applyAlignment="1">
      <alignment horizontal="center" vertical="center"/>
    </xf>
    <xf numFmtId="0" fontId="2" fillId="0" borderId="6" xfId="1" applyFont="1" applyBorder="1" applyAlignment="1" applyProtection="1">
      <alignment horizontal="center" vertical="center" wrapText="1"/>
      <protection locked="0"/>
    </xf>
    <xf numFmtId="0" fontId="7" fillId="0" borderId="6" xfId="1" applyBorder="1" applyAlignment="1" applyProtection="1">
      <alignment horizontal="center" vertical="center"/>
      <protection locked="0"/>
    </xf>
    <xf numFmtId="0" fontId="7" fillId="0" borderId="31" xfId="1" applyBorder="1" applyAlignment="1" applyProtection="1">
      <alignment horizontal="center" vertical="center"/>
      <protection locked="0"/>
    </xf>
    <xf numFmtId="0" fontId="7" fillId="0" borderId="2" xfId="1" applyBorder="1" applyAlignment="1" applyProtection="1">
      <alignment horizontal="center" vertical="center"/>
      <protection locked="0"/>
    </xf>
    <xf numFmtId="0" fontId="2" fillId="0" borderId="6" xfId="1" applyFont="1" applyBorder="1" applyAlignment="1" applyProtection="1">
      <alignment horizontal="center" vertical="center"/>
      <protection locked="0"/>
    </xf>
    <xf numFmtId="0" fontId="7" fillId="0" borderId="1" xfId="1" applyBorder="1" applyAlignment="1" applyProtection="1">
      <alignment horizontal="center" vertical="center"/>
      <protection locked="0"/>
    </xf>
    <xf numFmtId="0" fontId="7" fillId="0" borderId="15" xfId="1" applyBorder="1" applyAlignment="1">
      <alignment horizontal="right" vertical="center"/>
    </xf>
    <xf numFmtId="0" fontId="1" fillId="0" borderId="16" xfId="1" applyFont="1" applyBorder="1"/>
    <xf numFmtId="0" fontId="1" fillId="0" borderId="0" xfId="1" applyFont="1"/>
    <xf numFmtId="0" fontId="7" fillId="0" borderId="0" xfId="1" applyBorder="1" applyAlignment="1">
      <alignment horizontal="right"/>
    </xf>
    <xf numFmtId="0" fontId="7" fillId="0" borderId="10" xfId="1" applyBorder="1"/>
    <xf numFmtId="0" fontId="7" fillId="0" borderId="19" xfId="1" applyBorder="1"/>
    <xf numFmtId="0" fontId="1" fillId="0" borderId="19" xfId="1" applyFont="1" applyBorder="1"/>
    <xf numFmtId="0" fontId="1" fillId="0" borderId="19" xfId="1" applyFont="1" applyBorder="1" applyAlignment="1" applyProtection="1">
      <protection locked="0"/>
    </xf>
    <xf numFmtId="0" fontId="1" fillId="0" borderId="8" xfId="1" applyFont="1" applyBorder="1" applyAlignment="1">
      <alignment horizontal="center"/>
    </xf>
    <xf numFmtId="0" fontId="2" fillId="0" borderId="0" xfId="1" applyFont="1"/>
    <xf numFmtId="0" fontId="7" fillId="0" borderId="6" xfId="1" applyBorder="1" applyAlignment="1">
      <alignment horizontal="center" vertical="top" wrapText="1"/>
    </xf>
    <xf numFmtId="0" fontId="7" fillId="0" borderId="6" xfId="1" applyBorder="1" applyAlignment="1">
      <alignment vertical="top" wrapText="1"/>
    </xf>
    <xf numFmtId="0" fontId="7" fillId="0" borderId="6" xfId="1" applyBorder="1" applyAlignment="1" applyProtection="1">
      <alignment vertical="top" wrapText="1"/>
      <protection locked="0"/>
    </xf>
    <xf numFmtId="0" fontId="7" fillId="0" borderId="0" xfId="1" applyAlignment="1">
      <alignment wrapText="1"/>
    </xf>
    <xf numFmtId="0" fontId="7" fillId="0" borderId="0" xfId="1" applyAlignment="1" applyProtection="1">
      <alignment horizontal="center"/>
    </xf>
    <xf numFmtId="0" fontId="7" fillId="0" borderId="0" xfId="1" applyProtection="1"/>
    <xf numFmtId="0" fontId="7" fillId="0" borderId="6" xfId="1" applyBorder="1" applyAlignment="1">
      <alignment wrapText="1"/>
    </xf>
    <xf numFmtId="0" fontId="7" fillId="0" borderId="6" xfId="1" applyBorder="1" applyAlignment="1" applyProtection="1">
      <alignment wrapText="1"/>
      <protection locked="0"/>
    </xf>
    <xf numFmtId="0" fontId="7" fillId="0" borderId="0" xfId="1" applyAlignment="1" applyProtection="1">
      <alignment wrapText="1"/>
      <protection locked="0"/>
    </xf>
    <xf numFmtId="9" fontId="7" fillId="0" borderId="6" xfId="1" applyNumberFormat="1" applyBorder="1" applyAlignment="1" applyProtection="1">
      <alignment vertical="top" wrapText="1"/>
      <protection locked="0"/>
    </xf>
    <xf numFmtId="0" fontId="7" fillId="2" borderId="0" xfId="1" applyFill="1"/>
    <xf numFmtId="0" fontId="8" fillId="2" borderId="0" xfId="1" applyFont="1" applyFill="1"/>
    <xf numFmtId="0" fontId="9" fillId="2" borderId="0" xfId="1" applyFont="1" applyFill="1" applyAlignment="1"/>
    <xf numFmtId="0" fontId="10" fillId="2" borderId="0" xfId="1" applyFont="1" applyFill="1" applyAlignment="1"/>
    <xf numFmtId="0" fontId="11" fillId="2" borderId="0" xfId="1" applyFont="1" applyFill="1" applyAlignment="1">
      <alignment horizontal="center"/>
    </xf>
    <xf numFmtId="0" fontId="12" fillId="2" borderId="0" xfId="1" applyFont="1" applyFill="1" applyAlignment="1">
      <alignment horizontal="center"/>
    </xf>
    <xf numFmtId="0" fontId="7" fillId="2" borderId="0" xfId="1" applyFill="1" applyAlignment="1">
      <alignment horizontal="right"/>
    </xf>
    <xf numFmtId="0" fontId="7" fillId="0" borderId="0" xfId="1" applyFill="1" applyAlignment="1" applyProtection="1">
      <alignment horizontal="center"/>
      <protection locked="0"/>
    </xf>
    <xf numFmtId="15" fontId="7" fillId="0" borderId="0" xfId="1" applyNumberFormat="1" applyFill="1" applyAlignment="1" applyProtection="1">
      <alignment horizontal="center"/>
      <protection locked="0"/>
    </xf>
    <xf numFmtId="0" fontId="7" fillId="3" borderId="0" xfId="1" applyFill="1"/>
    <xf numFmtId="15" fontId="7" fillId="0" borderId="0" xfId="1" applyNumberFormat="1" applyFill="1" applyProtection="1">
      <protection locked="0"/>
    </xf>
    <xf numFmtId="0" fontId="7" fillId="2" borderId="0" xfId="1" applyFill="1" applyAlignment="1">
      <alignment horizontal="center"/>
    </xf>
    <xf numFmtId="15" fontId="7" fillId="2" borderId="0" xfId="1" applyNumberFormat="1" applyFill="1"/>
    <xf numFmtId="0" fontId="7" fillId="0" borderId="0" xfId="1" applyFill="1" applyProtection="1">
      <protection locked="0"/>
    </xf>
    <xf numFmtId="0" fontId="11" fillId="2" borderId="0" xfId="1" applyFont="1" applyFill="1"/>
    <xf numFmtId="0" fontId="13" fillId="2" borderId="6" xfId="1" applyFont="1" applyFill="1" applyBorder="1" applyAlignment="1">
      <alignment horizontal="center"/>
    </xf>
    <xf numFmtId="0" fontId="13" fillId="0" borderId="6" xfId="1" applyFont="1" applyFill="1" applyBorder="1" applyAlignment="1" applyProtection="1">
      <alignment horizontal="center"/>
      <protection locked="0"/>
    </xf>
    <xf numFmtId="0" fontId="7" fillId="2" borderId="6" xfId="1" applyFill="1" applyBorder="1" applyAlignment="1">
      <alignment horizontal="center"/>
    </xf>
    <xf numFmtId="0" fontId="7" fillId="0" borderId="6" xfId="1" applyFill="1" applyBorder="1" applyAlignment="1" applyProtection="1">
      <alignment horizontal="center"/>
      <protection locked="0"/>
    </xf>
    <xf numFmtId="0" fontId="13" fillId="2" borderId="0" xfId="1" applyFont="1" applyFill="1"/>
    <xf numFmtId="0" fontId="1" fillId="2" borderId="0" xfId="1" applyFont="1" applyFill="1"/>
    <xf numFmtId="0" fontId="1" fillId="0" borderId="0" xfId="1" applyFont="1" applyFill="1" applyAlignment="1" applyProtection="1">
      <alignment horizontal="center"/>
      <protection locked="0"/>
    </xf>
    <xf numFmtId="0" fontId="7" fillId="2" borderId="6" xfId="1" applyFill="1" applyBorder="1" applyAlignment="1">
      <alignment horizontal="center"/>
    </xf>
    <xf numFmtId="0" fontId="7" fillId="0" borderId="6" xfId="1" applyFill="1" applyBorder="1" applyAlignment="1" applyProtection="1">
      <alignment horizontal="center"/>
      <protection locked="0"/>
    </xf>
    <xf numFmtId="0" fontId="13" fillId="2" borderId="31" xfId="1" applyFont="1" applyFill="1" applyBorder="1" applyAlignment="1">
      <alignment horizontal="center" wrapText="1"/>
    </xf>
    <xf numFmtId="0" fontId="7" fillId="2" borderId="2" xfId="1" applyFill="1" applyBorder="1" applyAlignment="1">
      <alignment horizontal="center" wrapText="1"/>
    </xf>
    <xf numFmtId="0" fontId="7" fillId="2" borderId="25" xfId="1" applyFill="1" applyBorder="1" applyAlignment="1">
      <alignment horizontal="center" vertical="center"/>
    </xf>
    <xf numFmtId="0" fontId="7" fillId="2" borderId="27" xfId="1" applyFill="1" applyBorder="1" applyAlignment="1">
      <alignment horizontal="center" vertical="center"/>
    </xf>
    <xf numFmtId="0" fontId="7" fillId="2" borderId="7" xfId="1" applyFill="1" applyBorder="1" applyAlignment="1">
      <alignment horizontal="center" vertical="center"/>
    </xf>
    <xf numFmtId="0" fontId="7" fillId="2" borderId="8" xfId="1" applyFill="1" applyBorder="1" applyAlignment="1">
      <alignment horizontal="center" vertical="center"/>
    </xf>
    <xf numFmtId="14" fontId="7" fillId="0" borderId="0" xfId="1" applyNumberFormat="1" applyFill="1" applyAlignment="1" applyProtection="1">
      <alignment horizontal="center"/>
      <protection locked="0"/>
    </xf>
    <xf numFmtId="0" fontId="7" fillId="0" borderId="0" xfId="1" applyFill="1" applyAlignment="1" applyProtection="1">
      <alignment horizontal="center"/>
      <protection locked="0"/>
    </xf>
    <xf numFmtId="49" fontId="7" fillId="0" borderId="0" xfId="1" applyNumberFormat="1" applyFill="1" applyAlignment="1" applyProtection="1">
      <alignment horizontal="center"/>
      <protection locked="0"/>
    </xf>
    <xf numFmtId="0" fontId="13" fillId="2" borderId="6" xfId="1" applyFont="1" applyFill="1" applyBorder="1" applyAlignment="1">
      <alignment horizontal="center"/>
    </xf>
    <xf numFmtId="0" fontId="7" fillId="2" borderId="31" xfId="1" applyFill="1" applyBorder="1" applyAlignment="1">
      <alignment horizontal="center" vertical="center"/>
    </xf>
    <xf numFmtId="0" fontId="7" fillId="2" borderId="1" xfId="1" applyFill="1" applyBorder="1" applyAlignment="1">
      <alignment horizontal="center" vertical="center"/>
    </xf>
    <xf numFmtId="0" fontId="13" fillId="2" borderId="25" xfId="1" applyFont="1" applyFill="1" applyBorder="1" applyAlignment="1">
      <alignment horizontal="center" wrapText="1"/>
    </xf>
    <xf numFmtId="0" fontId="7" fillId="2" borderId="27" xfId="1" applyFill="1" applyBorder="1" applyAlignment="1">
      <alignment horizontal="center"/>
    </xf>
    <xf numFmtId="0" fontId="7" fillId="2" borderId="3" xfId="1" applyFill="1" applyBorder="1" applyAlignment="1">
      <alignment horizontal="center"/>
    </xf>
    <xf numFmtId="0" fontId="7" fillId="2" borderId="4" xfId="1" applyFill="1" applyBorder="1" applyAlignment="1">
      <alignment horizontal="center"/>
    </xf>
    <xf numFmtId="0" fontId="7" fillId="2" borderId="27" xfId="1" applyFill="1" applyBorder="1" applyAlignment="1">
      <alignment horizontal="center" wrapText="1"/>
    </xf>
    <xf numFmtId="0" fontId="7" fillId="2" borderId="3" xfId="1" applyFill="1" applyBorder="1" applyAlignment="1">
      <alignment horizontal="center" wrapText="1"/>
    </xf>
    <xf numFmtId="0" fontId="7" fillId="2" borderId="4" xfId="1" applyFill="1" applyBorder="1" applyAlignment="1">
      <alignment horizontal="center" wrapText="1"/>
    </xf>
    <xf numFmtId="0" fontId="2" fillId="0" borderId="0" xfId="1" applyFont="1" applyFill="1" applyAlignment="1" applyProtection="1">
      <alignment horizontal="center"/>
      <protection locked="0"/>
    </xf>
    <xf numFmtId="0" fontId="7" fillId="0" borderId="0" xfId="1" applyFill="1" applyAlignment="1" applyProtection="1">
      <alignment horizontal="left"/>
      <protection locked="0"/>
    </xf>
    <xf numFmtId="0" fontId="9" fillId="2" borderId="0" xfId="1" applyFont="1" applyFill="1" applyAlignment="1">
      <alignment horizontal="center"/>
    </xf>
    <xf numFmtId="0" fontId="11" fillId="2" borderId="0" xfId="1" applyFont="1" applyFill="1" applyAlignment="1">
      <alignment horizontal="center"/>
    </xf>
    <xf numFmtId="0" fontId="11" fillId="0" borderId="0" xfId="1" applyFont="1" applyFill="1" applyAlignment="1" applyProtection="1">
      <alignment horizontal="center"/>
      <protection locked="0"/>
    </xf>
    <xf numFmtId="0" fontId="2" fillId="0" borderId="29" xfId="1" applyFont="1" applyBorder="1" applyAlignment="1" applyProtection="1">
      <alignment horizontal="center" vertical="center"/>
      <protection locked="0"/>
    </xf>
    <xf numFmtId="0" fontId="7" fillId="0" borderId="30" xfId="1" applyBorder="1" applyAlignment="1" applyProtection="1">
      <alignment horizontal="center" vertical="center"/>
      <protection locked="0"/>
    </xf>
    <xf numFmtId="0" fontId="2" fillId="0" borderId="29" xfId="1" applyFont="1" applyBorder="1" applyAlignment="1" applyProtection="1">
      <alignment horizontal="center" vertical="center" wrapText="1"/>
      <protection locked="0"/>
    </xf>
    <xf numFmtId="0" fontId="7" fillId="0" borderId="30" xfId="1" applyBorder="1" applyAlignment="1" applyProtection="1">
      <alignment horizontal="center" vertical="center" wrapText="1"/>
      <protection locked="0"/>
    </xf>
    <xf numFmtId="0" fontId="7" fillId="0" borderId="29" xfId="1" applyBorder="1" applyAlignment="1" applyProtection="1">
      <alignment horizontal="center" vertical="center" wrapText="1"/>
      <protection locked="0"/>
    </xf>
    <xf numFmtId="0" fontId="7" fillId="0" borderId="29" xfId="1" applyBorder="1" applyAlignment="1" applyProtection="1">
      <alignment horizontal="center" vertical="center"/>
      <protection locked="0"/>
    </xf>
    <xf numFmtId="0" fontId="3" fillId="0" borderId="13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1" fillId="0" borderId="21" xfId="1" applyFont="1" applyBorder="1" applyAlignment="1">
      <alignment horizontal="center"/>
    </xf>
    <xf numFmtId="0" fontId="1" fillId="0" borderId="23" xfId="1" applyFont="1" applyBorder="1" applyAlignment="1">
      <alignment horizontal="center"/>
    </xf>
    <xf numFmtId="0" fontId="1" fillId="0" borderId="29" xfId="1" applyFont="1" applyBorder="1" applyAlignment="1">
      <alignment horizontal="center" vertical="center"/>
    </xf>
    <xf numFmtId="0" fontId="1" fillId="0" borderId="30" xfId="1" applyFont="1" applyBorder="1" applyAlignment="1">
      <alignment horizontal="center" vertical="center"/>
    </xf>
    <xf numFmtId="0" fontId="0" fillId="0" borderId="6" xfId="0" applyBorder="1" applyAlignment="1">
      <alignment horizontal="center" vertical="top" wrapText="1"/>
    </xf>
    <xf numFmtId="0" fontId="0" fillId="0" borderId="6" xfId="0" applyBorder="1" applyAlignment="1">
      <alignment horizontal="left" vertical="top" wrapText="1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12" xfId="0" applyBorder="1" applyAlignment="1">
      <alignment horizontal="center" vertical="top" wrapText="1"/>
    </xf>
    <xf numFmtId="0" fontId="0" fillId="0" borderId="12" xfId="0" applyBorder="1" applyAlignment="1">
      <alignment horizontal="left" vertical="top" wrapText="1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1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textRotation="90" wrapText="1"/>
    </xf>
    <xf numFmtId="0" fontId="0" fillId="0" borderId="6" xfId="0" applyBorder="1" applyAlignment="1">
      <alignment horizontal="center" textRotation="90" wrapText="1"/>
    </xf>
    <xf numFmtId="0" fontId="0" fillId="0" borderId="2" xfId="0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7" fillId="0" borderId="6" xfId="1" applyBorder="1" applyAlignment="1">
      <alignment horizontal="center" vertical="top" wrapText="1"/>
    </xf>
    <xf numFmtId="0" fontId="7" fillId="0" borderId="6" xfId="1" applyBorder="1" applyAlignment="1">
      <alignment horizontal="left" vertical="top" wrapText="1"/>
    </xf>
    <xf numFmtId="0" fontId="7" fillId="0" borderId="6" xfId="1" applyBorder="1" applyAlignment="1" applyProtection="1">
      <alignment horizontal="left" vertical="top" wrapText="1"/>
      <protection locked="0"/>
    </xf>
    <xf numFmtId="0" fontId="7" fillId="0" borderId="12" xfId="1" applyBorder="1" applyAlignment="1">
      <alignment horizontal="center" vertical="top" wrapText="1"/>
    </xf>
    <xf numFmtId="0" fontId="7" fillId="0" borderId="12" xfId="1" applyBorder="1" applyAlignment="1">
      <alignment horizontal="left" vertical="top" wrapText="1"/>
    </xf>
    <xf numFmtId="0" fontId="7" fillId="0" borderId="12" xfId="1" applyBorder="1" applyAlignment="1" applyProtection="1">
      <alignment horizontal="left" vertical="top" wrapText="1"/>
      <protection locked="0"/>
    </xf>
    <xf numFmtId="0" fontId="7" fillId="0" borderId="12" xfId="1" applyBorder="1" applyAlignment="1" applyProtection="1">
      <alignment horizontal="center" vertical="top" wrapText="1"/>
    </xf>
    <xf numFmtId="0" fontId="7" fillId="0" borderId="11" xfId="1" applyBorder="1" applyAlignment="1">
      <alignment horizontal="center" vertical="top" wrapText="1"/>
    </xf>
    <xf numFmtId="0" fontId="7" fillId="0" borderId="11" xfId="1" applyBorder="1" applyAlignment="1">
      <alignment horizontal="left" vertical="top" wrapText="1"/>
    </xf>
    <xf numFmtId="0" fontId="7" fillId="0" borderId="11" xfId="1" applyBorder="1" applyAlignment="1" applyProtection="1">
      <alignment horizontal="left" vertical="top" wrapText="1"/>
      <protection locked="0"/>
    </xf>
    <xf numFmtId="0" fontId="2" fillId="0" borderId="3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7" xfId="1" applyFont="1" applyBorder="1" applyAlignment="1">
      <alignment horizontal="center"/>
    </xf>
    <xf numFmtId="0" fontId="2" fillId="0" borderId="28" xfId="1" applyFont="1" applyBorder="1" applyAlignment="1">
      <alignment horizontal="center"/>
    </xf>
    <xf numFmtId="0" fontId="2" fillId="0" borderId="8" xfId="1" applyFont="1" applyBorder="1" applyAlignment="1">
      <alignment horizontal="center"/>
    </xf>
    <xf numFmtId="0" fontId="2" fillId="0" borderId="3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31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31" xfId="1" applyFont="1" applyBorder="1" applyAlignment="1">
      <alignment horizontal="center" vertical="top"/>
    </xf>
    <xf numFmtId="0" fontId="2" fillId="0" borderId="2" xfId="1" applyFont="1" applyBorder="1" applyAlignment="1">
      <alignment horizontal="center" vertical="top"/>
    </xf>
    <xf numFmtId="0" fontId="2" fillId="0" borderId="1" xfId="1" applyFont="1" applyBorder="1" applyAlignment="1">
      <alignment horizontal="center" vertical="top"/>
    </xf>
    <xf numFmtId="0" fontId="2" fillId="0" borderId="31" xfId="1" applyFont="1" applyBorder="1" applyAlignment="1">
      <alignment horizontal="center" wrapText="1"/>
    </xf>
    <xf numFmtId="0" fontId="2" fillId="0" borderId="2" xfId="1" applyFont="1" applyBorder="1" applyAlignment="1">
      <alignment horizontal="center" wrapText="1"/>
    </xf>
    <xf numFmtId="0" fontId="2" fillId="0" borderId="1" xfId="1" applyFont="1" applyBorder="1" applyAlignment="1">
      <alignment horizontal="center" wrapText="1"/>
    </xf>
    <xf numFmtId="0" fontId="2" fillId="0" borderId="29" xfId="1" applyFont="1" applyBorder="1" applyAlignment="1">
      <alignment horizontal="center"/>
    </xf>
    <xf numFmtId="0" fontId="2" fillId="0" borderId="30" xfId="1" applyFont="1" applyBorder="1" applyAlignment="1">
      <alignment horizontal="center"/>
    </xf>
    <xf numFmtId="0" fontId="2" fillId="0" borderId="10" xfId="1" applyFont="1" applyBorder="1" applyAlignment="1">
      <alignment horizontal="center"/>
    </xf>
    <xf numFmtId="0" fontId="1" fillId="0" borderId="7" xfId="1" applyFont="1" applyBorder="1" applyAlignment="1">
      <alignment horizontal="center"/>
    </xf>
    <xf numFmtId="0" fontId="1" fillId="0" borderId="28" xfId="1" applyFont="1" applyBorder="1" applyAlignment="1">
      <alignment horizontal="center"/>
    </xf>
    <xf numFmtId="14" fontId="1" fillId="0" borderId="28" xfId="1" applyNumberFormat="1" applyFont="1" applyBorder="1" applyAlignment="1">
      <alignment horizontal="center"/>
    </xf>
    <xf numFmtId="0" fontId="1" fillId="0" borderId="28" xfId="1" applyNumberFormat="1" applyFont="1" applyBorder="1" applyAlignment="1">
      <alignment horizontal="center"/>
    </xf>
    <xf numFmtId="0" fontId="1" fillId="0" borderId="17" xfId="1" applyFont="1" applyBorder="1" applyAlignment="1">
      <alignment horizontal="left"/>
    </xf>
    <xf numFmtId="0" fontId="1" fillId="0" borderId="0" xfId="1" applyFont="1" applyBorder="1" applyAlignment="1">
      <alignment horizontal="left"/>
    </xf>
    <xf numFmtId="0" fontId="1" fillId="0" borderId="28" xfId="1" applyFont="1" applyBorder="1" applyAlignment="1">
      <alignment horizontal="left"/>
    </xf>
    <xf numFmtId="0" fontId="7" fillId="0" borderId="0" xfId="1" applyBorder="1" applyAlignment="1">
      <alignment horizontal="right"/>
    </xf>
    <xf numFmtId="0" fontId="7" fillId="0" borderId="10" xfId="1" applyBorder="1" applyAlignment="1">
      <alignment horizontal="left"/>
    </xf>
    <xf numFmtId="0" fontId="6" fillId="0" borderId="17" xfId="1" applyFont="1" applyBorder="1" applyAlignment="1">
      <alignment horizontal="left"/>
    </xf>
    <xf numFmtId="0" fontId="6" fillId="0" borderId="0" xfId="1" applyFont="1" applyBorder="1" applyAlignment="1">
      <alignment horizontal="left"/>
    </xf>
    <xf numFmtId="164" fontId="6" fillId="0" borderId="28" xfId="1" applyNumberFormat="1" applyFont="1" applyBorder="1" applyAlignment="1" applyProtection="1">
      <alignment horizontal="left"/>
      <protection locked="0"/>
    </xf>
    <xf numFmtId="0" fontId="7" fillId="0" borderId="28" xfId="1" applyBorder="1" applyAlignment="1">
      <alignment horizontal="left"/>
    </xf>
    <xf numFmtId="0" fontId="1" fillId="0" borderId="0" xfId="1" applyFont="1" applyBorder="1" applyAlignment="1">
      <alignment horizontal="center"/>
    </xf>
    <xf numFmtId="0" fontId="7" fillId="0" borderId="0" xfId="1" applyBorder="1" applyAlignment="1">
      <alignment horizontal="center"/>
    </xf>
    <xf numFmtId="0" fontId="1" fillId="0" borderId="13" xfId="1" applyFont="1" applyBorder="1" applyAlignment="1">
      <alignment horizontal="left"/>
    </xf>
    <xf numFmtId="0" fontId="7" fillId="0" borderId="15" xfId="1" applyBorder="1"/>
    <xf numFmtId="164" fontId="1" fillId="0" borderId="28" xfId="1" applyNumberFormat="1" applyFont="1" applyBorder="1" applyAlignment="1">
      <alignment horizontal="left"/>
    </xf>
    <xf numFmtId="15" fontId="7" fillId="0" borderId="32" xfId="1" applyNumberFormat="1" applyBorder="1" applyAlignment="1">
      <alignment horizontal="left"/>
    </xf>
    <xf numFmtId="0" fontId="7" fillId="0" borderId="15" xfId="1" applyBorder="1" applyAlignment="1">
      <alignment horizontal="right"/>
    </xf>
    <xf numFmtId="0" fontId="7" fillId="0" borderId="32" xfId="1" applyBorder="1"/>
    <xf numFmtId="0" fontId="6" fillId="0" borderId="15" xfId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1</xdr:row>
      <xdr:rowOff>0</xdr:rowOff>
    </xdr:from>
    <xdr:to>
      <xdr:col>1</xdr:col>
      <xdr:colOff>1123950</xdr:colOff>
      <xdr:row>3</xdr:row>
      <xdr:rowOff>114300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285750" y="95250"/>
          <a:ext cx="971550" cy="466725"/>
          <a:chOff x="2188" y="67"/>
          <a:chExt cx="770" cy="436"/>
        </a:xfrm>
      </xdr:grpSpPr>
      <xdr:pic>
        <xdr:nvPicPr>
          <xdr:cNvPr id="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88" y="67"/>
            <a:ext cx="770" cy="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Picture 3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307" y="211"/>
            <a:ext cx="506" cy="27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36</xdr:row>
          <xdr:rowOff>66675</xdr:rowOff>
        </xdr:from>
        <xdr:to>
          <xdr:col>15</xdr:col>
          <xdr:colOff>19050</xdr:colOff>
          <xdr:row>38</xdr:row>
          <xdr:rowOff>76200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95250</xdr:rowOff>
    </xdr:from>
    <xdr:to>
      <xdr:col>0</xdr:col>
      <xdr:colOff>1066800</xdr:colOff>
      <xdr:row>10</xdr:row>
      <xdr:rowOff>85725</xdr:rowOff>
    </xdr:to>
    <xdr:pic>
      <xdr:nvPicPr>
        <xdr:cNvPr id="2" name="Picture 26" descr="Hop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447800"/>
          <a:ext cx="91440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219075</xdr:colOff>
      <xdr:row>2</xdr:row>
      <xdr:rowOff>28575</xdr:rowOff>
    </xdr:from>
    <xdr:to>
      <xdr:col>10</xdr:col>
      <xdr:colOff>485775</xdr:colOff>
      <xdr:row>5</xdr:row>
      <xdr:rowOff>57150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1744325" y="447675"/>
          <a:ext cx="266700" cy="542925"/>
        </a:xfrm>
        <a:prstGeom prst="downArrow">
          <a:avLst>
            <a:gd name="adj1" fmla="val 50000"/>
            <a:gd name="adj2" fmla="val 5089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114300</xdr:colOff>
      <xdr:row>7</xdr:row>
      <xdr:rowOff>66675</xdr:rowOff>
    </xdr:from>
    <xdr:to>
      <xdr:col>2</xdr:col>
      <xdr:colOff>514350</xdr:colOff>
      <xdr:row>9</xdr:row>
      <xdr:rowOff>76200</xdr:rowOff>
    </xdr:to>
    <xdr:sp macro="" textlink="">
      <xdr:nvSpPr>
        <xdr:cNvPr id="4" name="AutoShape 2"/>
        <xdr:cNvSpPr>
          <a:spLocks noChangeArrowheads="1"/>
        </xdr:cNvSpPr>
      </xdr:nvSpPr>
      <xdr:spPr bwMode="auto">
        <a:xfrm>
          <a:off x="3057525" y="1419225"/>
          <a:ext cx="400050" cy="333375"/>
        </a:xfrm>
        <a:custGeom>
          <a:avLst/>
          <a:gdLst>
            <a:gd name="T0" fmla="*/ 2147483647 w 21600"/>
            <a:gd name="T1" fmla="*/ 2147483647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4500 w 21600"/>
            <a:gd name="T13" fmla="*/ 4500 h 21600"/>
            <a:gd name="T14" fmla="*/ 17100 w 21600"/>
            <a:gd name="T15" fmla="*/ 171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</a:t>
          </a:r>
        </a:p>
      </xdr:txBody>
    </xdr:sp>
    <xdr:clientData/>
  </xdr:twoCellAnchor>
  <xdr:twoCellAnchor>
    <xdr:from>
      <xdr:col>2</xdr:col>
      <xdr:colOff>1190625</xdr:colOff>
      <xdr:row>7</xdr:row>
      <xdr:rowOff>104775</xdr:rowOff>
    </xdr:from>
    <xdr:to>
      <xdr:col>2</xdr:col>
      <xdr:colOff>1581150</xdr:colOff>
      <xdr:row>9</xdr:row>
      <xdr:rowOff>28575</xdr:rowOff>
    </xdr:to>
    <xdr:sp macro="" textlink="">
      <xdr:nvSpPr>
        <xdr:cNvPr id="5" name="AutoShape 4"/>
        <xdr:cNvSpPr>
          <a:spLocks noChangeArrowheads="1"/>
        </xdr:cNvSpPr>
      </xdr:nvSpPr>
      <xdr:spPr bwMode="auto">
        <a:xfrm>
          <a:off x="4133850" y="1457325"/>
          <a:ext cx="390525" cy="2476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390525</xdr:colOff>
      <xdr:row>2</xdr:row>
      <xdr:rowOff>38100</xdr:rowOff>
    </xdr:from>
    <xdr:to>
      <xdr:col>12</xdr:col>
      <xdr:colOff>161925</xdr:colOff>
      <xdr:row>5</xdr:row>
      <xdr:rowOff>76200</xdr:rowOff>
    </xdr:to>
    <xdr:sp macro="" textlink="">
      <xdr:nvSpPr>
        <xdr:cNvPr id="6" name="AutoShape 5"/>
        <xdr:cNvSpPr>
          <a:spLocks noChangeArrowheads="1"/>
        </xdr:cNvSpPr>
      </xdr:nvSpPr>
      <xdr:spPr bwMode="auto">
        <a:xfrm>
          <a:off x="12449175" y="457200"/>
          <a:ext cx="304800" cy="552450"/>
        </a:xfrm>
        <a:prstGeom prst="diamond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200025</xdr:colOff>
      <xdr:row>2</xdr:row>
      <xdr:rowOff>9525</xdr:rowOff>
    </xdr:from>
    <xdr:to>
      <xdr:col>15</xdr:col>
      <xdr:colOff>57150</xdr:colOff>
      <xdr:row>5</xdr:row>
      <xdr:rowOff>9525</xdr:rowOff>
    </xdr:to>
    <xdr:sp macro="" textlink="">
      <xdr:nvSpPr>
        <xdr:cNvPr id="7" name="AutoShape 6"/>
        <xdr:cNvSpPr>
          <a:spLocks noChangeArrowheads="1"/>
        </xdr:cNvSpPr>
      </xdr:nvSpPr>
      <xdr:spPr bwMode="auto">
        <a:xfrm rot="10800000">
          <a:off x="13858875" y="428625"/>
          <a:ext cx="390525" cy="514350"/>
        </a:xfrm>
        <a:custGeom>
          <a:avLst/>
          <a:gdLst>
            <a:gd name="T0" fmla="*/ 2147483647 w 21600"/>
            <a:gd name="T1" fmla="*/ 2147483647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4500 w 21600"/>
            <a:gd name="T13" fmla="*/ 4500 h 21600"/>
            <a:gd name="T14" fmla="*/ 17100 w 21600"/>
            <a:gd name="T15" fmla="*/ 171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409575</xdr:colOff>
      <xdr:row>7</xdr:row>
      <xdr:rowOff>47625</xdr:rowOff>
    </xdr:from>
    <xdr:to>
      <xdr:col>4</xdr:col>
      <xdr:colOff>695325</xdr:colOff>
      <xdr:row>8</xdr:row>
      <xdr:rowOff>133350</xdr:rowOff>
    </xdr:to>
    <xdr:sp macro="" textlink="">
      <xdr:nvSpPr>
        <xdr:cNvPr id="8" name="Oval 7"/>
        <xdr:cNvSpPr>
          <a:spLocks noChangeArrowheads="1"/>
        </xdr:cNvSpPr>
      </xdr:nvSpPr>
      <xdr:spPr bwMode="auto">
        <a:xfrm>
          <a:off x="6324600" y="1400175"/>
          <a:ext cx="285750" cy="2476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1133475</xdr:colOff>
      <xdr:row>7</xdr:row>
      <xdr:rowOff>38100</xdr:rowOff>
    </xdr:from>
    <xdr:to>
      <xdr:col>4</xdr:col>
      <xdr:colOff>1495425</xdr:colOff>
      <xdr:row>8</xdr:row>
      <xdr:rowOff>133350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7048500" y="1390650"/>
          <a:ext cx="361950" cy="257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66675</xdr:colOff>
      <xdr:row>2</xdr:row>
      <xdr:rowOff>0</xdr:rowOff>
    </xdr:from>
    <xdr:to>
      <xdr:col>13</xdr:col>
      <xdr:colOff>323850</xdr:colOff>
      <xdr:row>3</xdr:row>
      <xdr:rowOff>0</xdr:rowOff>
    </xdr:to>
    <xdr:grpSp>
      <xdr:nvGrpSpPr>
        <xdr:cNvPr id="10" name="Group 16"/>
        <xdr:cNvGrpSpPr>
          <a:grpSpLocks/>
        </xdr:cNvGrpSpPr>
      </xdr:nvGrpSpPr>
      <xdr:grpSpPr bwMode="auto">
        <a:xfrm>
          <a:off x="13573125" y="419100"/>
          <a:ext cx="257175" cy="171450"/>
          <a:chOff x="334" y="14"/>
          <a:chExt cx="28" cy="24"/>
        </a:xfrm>
      </xdr:grpSpPr>
      <xdr:sp macro="" textlink="">
        <xdr:nvSpPr>
          <xdr:cNvPr id="11" name="Oval 11"/>
          <xdr:cNvSpPr>
            <a:spLocks noChangeArrowheads="1"/>
          </xdr:cNvSpPr>
        </xdr:nvSpPr>
        <xdr:spPr bwMode="auto">
          <a:xfrm>
            <a:off x="334" y="14"/>
            <a:ext cx="28" cy="24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12"/>
          <xdr:cNvSpPr>
            <a:spLocks noChangeShapeType="1"/>
          </xdr:cNvSpPr>
        </xdr:nvSpPr>
        <xdr:spPr bwMode="auto">
          <a:xfrm>
            <a:off x="338" y="18"/>
            <a:ext cx="19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13"/>
          <xdr:cNvSpPr>
            <a:spLocks noChangeShapeType="1"/>
          </xdr:cNvSpPr>
        </xdr:nvSpPr>
        <xdr:spPr bwMode="auto">
          <a:xfrm flipH="1">
            <a:off x="338" y="18"/>
            <a:ext cx="20" cy="1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171450</xdr:colOff>
      <xdr:row>8</xdr:row>
      <xdr:rowOff>152400</xdr:rowOff>
    </xdr:from>
    <xdr:to>
      <xdr:col>5</xdr:col>
      <xdr:colOff>819150</xdr:colOff>
      <xdr:row>10</xdr:row>
      <xdr:rowOff>152400</xdr:rowOff>
    </xdr:to>
    <xdr:sp macro="" textlink="">
      <xdr:nvSpPr>
        <xdr:cNvPr id="14" name="Text Box 27"/>
        <xdr:cNvSpPr txBox="1">
          <a:spLocks noChangeArrowheads="1"/>
        </xdr:cNvSpPr>
      </xdr:nvSpPr>
      <xdr:spPr bwMode="auto">
        <a:xfrm>
          <a:off x="8315325" y="1666875"/>
          <a:ext cx="64770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Secondary</a:t>
          </a:r>
        </a:p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Route</a:t>
          </a:r>
        </a:p>
      </xdr:txBody>
    </xdr:sp>
    <xdr:clientData/>
  </xdr:twoCellAnchor>
  <xdr:twoCellAnchor>
    <xdr:from>
      <xdr:col>1</xdr:col>
      <xdr:colOff>1400175</xdr:colOff>
      <xdr:row>9</xdr:row>
      <xdr:rowOff>104775</xdr:rowOff>
    </xdr:from>
    <xdr:to>
      <xdr:col>2</xdr:col>
      <xdr:colOff>1057275</xdr:colOff>
      <xdr:row>10</xdr:row>
      <xdr:rowOff>133350</xdr:rowOff>
    </xdr:to>
    <xdr:sp macro="" textlink="">
      <xdr:nvSpPr>
        <xdr:cNvPr id="15" name="Text Box 28"/>
        <xdr:cNvSpPr txBox="1">
          <a:spLocks noChangeArrowheads="1"/>
        </xdr:cNvSpPr>
      </xdr:nvSpPr>
      <xdr:spPr bwMode="auto">
        <a:xfrm>
          <a:off x="2590800" y="1781175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Goods In &amp; No:of Parts</a:t>
          </a:r>
        </a:p>
      </xdr:txBody>
    </xdr:sp>
    <xdr:clientData/>
  </xdr:twoCellAnchor>
  <xdr:twoCellAnchor>
    <xdr:from>
      <xdr:col>4</xdr:col>
      <xdr:colOff>1724025</xdr:colOff>
      <xdr:row>9</xdr:row>
      <xdr:rowOff>0</xdr:rowOff>
    </xdr:from>
    <xdr:to>
      <xdr:col>5</xdr:col>
      <xdr:colOff>28575</xdr:colOff>
      <xdr:row>11</xdr:row>
      <xdr:rowOff>0</xdr:rowOff>
    </xdr:to>
    <xdr:sp macro="" textlink="">
      <xdr:nvSpPr>
        <xdr:cNvPr id="16" name="Text Box 29"/>
        <xdr:cNvSpPr txBox="1">
          <a:spLocks noChangeArrowheads="1"/>
        </xdr:cNvSpPr>
      </xdr:nvSpPr>
      <xdr:spPr bwMode="auto">
        <a:xfrm>
          <a:off x="7639050" y="1676400"/>
          <a:ext cx="53340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Primary Route</a:t>
          </a:r>
        </a:p>
      </xdr:txBody>
    </xdr:sp>
    <xdr:clientData/>
  </xdr:twoCellAnchor>
  <xdr:twoCellAnchor>
    <xdr:from>
      <xdr:col>4</xdr:col>
      <xdr:colOff>990600</xdr:colOff>
      <xdr:row>9</xdr:row>
      <xdr:rowOff>57150</xdr:rowOff>
    </xdr:from>
    <xdr:to>
      <xdr:col>4</xdr:col>
      <xdr:colOff>1609725</xdr:colOff>
      <xdr:row>10</xdr:row>
      <xdr:rowOff>85725</xdr:rowOff>
    </xdr:to>
    <xdr:sp macro="" textlink="">
      <xdr:nvSpPr>
        <xdr:cNvPr id="17" name="Text Box 30"/>
        <xdr:cNvSpPr txBox="1">
          <a:spLocks noChangeArrowheads="1"/>
        </xdr:cNvSpPr>
      </xdr:nvSpPr>
      <xdr:spPr bwMode="auto">
        <a:xfrm>
          <a:off x="6905625" y="1733550"/>
          <a:ext cx="61912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Inspection</a:t>
          </a:r>
        </a:p>
      </xdr:txBody>
    </xdr:sp>
    <xdr:clientData/>
  </xdr:twoCellAnchor>
  <xdr:twoCellAnchor>
    <xdr:from>
      <xdr:col>4</xdr:col>
      <xdr:colOff>238125</xdr:colOff>
      <xdr:row>9</xdr:row>
      <xdr:rowOff>57150</xdr:rowOff>
    </xdr:from>
    <xdr:to>
      <xdr:col>4</xdr:col>
      <xdr:colOff>857250</xdr:colOff>
      <xdr:row>10</xdr:row>
      <xdr:rowOff>85725</xdr:rowOff>
    </xdr:to>
    <xdr:sp macro="" textlink="">
      <xdr:nvSpPr>
        <xdr:cNvPr id="18" name="Text Box 31"/>
        <xdr:cNvSpPr txBox="1">
          <a:spLocks noChangeArrowheads="1"/>
        </xdr:cNvSpPr>
      </xdr:nvSpPr>
      <xdr:spPr bwMode="auto">
        <a:xfrm>
          <a:off x="6153150" y="1733550"/>
          <a:ext cx="61912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Operation</a:t>
          </a:r>
        </a:p>
      </xdr:txBody>
    </xdr:sp>
    <xdr:clientData/>
  </xdr:twoCellAnchor>
  <xdr:twoCellAnchor>
    <xdr:from>
      <xdr:col>14</xdr:col>
      <xdr:colOff>117475</xdr:colOff>
      <xdr:row>5</xdr:row>
      <xdr:rowOff>104775</xdr:rowOff>
    </xdr:from>
    <xdr:to>
      <xdr:col>15</xdr:col>
      <xdr:colOff>206375</xdr:colOff>
      <xdr:row>6</xdr:row>
      <xdr:rowOff>54134</xdr:rowOff>
    </xdr:to>
    <xdr:sp macro="" textlink="">
      <xdr:nvSpPr>
        <xdr:cNvPr id="19" name="Text Box 32"/>
        <xdr:cNvSpPr txBox="1">
          <a:spLocks noChangeArrowheads="1"/>
        </xdr:cNvSpPr>
      </xdr:nvSpPr>
      <xdr:spPr bwMode="auto">
        <a:xfrm>
          <a:off x="13776325" y="1038225"/>
          <a:ext cx="622300" cy="1208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Offload</a:t>
          </a:r>
        </a:p>
      </xdr:txBody>
    </xdr:sp>
    <xdr:clientData/>
  </xdr:twoCellAnchor>
  <xdr:twoCellAnchor>
    <xdr:from>
      <xdr:col>12</xdr:col>
      <xdr:colOff>425450</xdr:colOff>
      <xdr:row>5</xdr:row>
      <xdr:rowOff>180975</xdr:rowOff>
    </xdr:from>
    <xdr:to>
      <xdr:col>13</xdr:col>
      <xdr:colOff>508000</xdr:colOff>
      <xdr:row>6</xdr:row>
      <xdr:rowOff>123825</xdr:rowOff>
    </xdr:to>
    <xdr:sp macro="" textlink="">
      <xdr:nvSpPr>
        <xdr:cNvPr id="20" name="Text Box 33"/>
        <xdr:cNvSpPr txBox="1">
          <a:spLocks noChangeArrowheads="1"/>
        </xdr:cNvSpPr>
      </xdr:nvSpPr>
      <xdr:spPr bwMode="auto">
        <a:xfrm>
          <a:off x="13017500" y="1104900"/>
          <a:ext cx="615950" cy="123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Operator</a:t>
          </a:r>
        </a:p>
      </xdr:txBody>
    </xdr:sp>
    <xdr:clientData/>
  </xdr:twoCellAnchor>
  <xdr:twoCellAnchor>
    <xdr:from>
      <xdr:col>11</xdr:col>
      <xdr:colOff>234950</xdr:colOff>
      <xdr:row>5</xdr:row>
      <xdr:rowOff>104775</xdr:rowOff>
    </xdr:from>
    <xdr:to>
      <xdr:col>12</xdr:col>
      <xdr:colOff>320675</xdr:colOff>
      <xdr:row>6</xdr:row>
      <xdr:rowOff>54134</xdr:rowOff>
    </xdr:to>
    <xdr:sp macro="" textlink="">
      <xdr:nvSpPr>
        <xdr:cNvPr id="21" name="Text Box 34"/>
        <xdr:cNvSpPr txBox="1">
          <a:spLocks noChangeArrowheads="1"/>
        </xdr:cNvSpPr>
      </xdr:nvSpPr>
      <xdr:spPr bwMode="auto">
        <a:xfrm>
          <a:off x="12293600" y="1038225"/>
          <a:ext cx="619125" cy="1208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Decision</a:t>
          </a:r>
        </a:p>
      </xdr:txBody>
    </xdr:sp>
    <xdr:clientData/>
  </xdr:twoCellAnchor>
  <xdr:twoCellAnchor>
    <xdr:from>
      <xdr:col>2</xdr:col>
      <xdr:colOff>1057275</xdr:colOff>
      <xdr:row>9</xdr:row>
      <xdr:rowOff>66675</xdr:rowOff>
    </xdr:from>
    <xdr:to>
      <xdr:col>2</xdr:col>
      <xdr:colOff>1676400</xdr:colOff>
      <xdr:row>10</xdr:row>
      <xdr:rowOff>95250</xdr:rowOff>
    </xdr:to>
    <xdr:sp macro="" textlink="">
      <xdr:nvSpPr>
        <xdr:cNvPr id="22" name="Text Box 35"/>
        <xdr:cNvSpPr txBox="1">
          <a:spLocks noChangeArrowheads="1"/>
        </xdr:cNvSpPr>
      </xdr:nvSpPr>
      <xdr:spPr bwMode="auto">
        <a:xfrm>
          <a:off x="4000500" y="1743075"/>
          <a:ext cx="61912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Storage</a:t>
          </a:r>
        </a:p>
      </xdr:txBody>
    </xdr:sp>
    <xdr:clientData/>
  </xdr:twoCellAnchor>
  <xdr:twoCellAnchor>
    <xdr:from>
      <xdr:col>9</xdr:col>
      <xdr:colOff>495300</xdr:colOff>
      <xdr:row>5</xdr:row>
      <xdr:rowOff>142875</xdr:rowOff>
    </xdr:from>
    <xdr:to>
      <xdr:col>11</xdr:col>
      <xdr:colOff>152400</xdr:colOff>
      <xdr:row>6</xdr:row>
      <xdr:rowOff>104775</xdr:rowOff>
    </xdr:to>
    <xdr:sp macro="" textlink="">
      <xdr:nvSpPr>
        <xdr:cNvPr id="23" name="Text Box 36"/>
        <xdr:cNvSpPr txBox="1">
          <a:spLocks noChangeArrowheads="1"/>
        </xdr:cNvSpPr>
      </xdr:nvSpPr>
      <xdr:spPr bwMode="auto">
        <a:xfrm>
          <a:off x="11487150" y="1076325"/>
          <a:ext cx="72390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Transport</a:t>
          </a:r>
        </a:p>
      </xdr:txBody>
    </xdr:sp>
    <xdr:clientData/>
  </xdr:twoCellAnchor>
  <xdr:twoCellAnchor>
    <xdr:from>
      <xdr:col>13</xdr:col>
      <xdr:colOff>200025</xdr:colOff>
      <xdr:row>1</xdr:row>
      <xdr:rowOff>95250</xdr:rowOff>
    </xdr:from>
    <xdr:to>
      <xdr:col>13</xdr:col>
      <xdr:colOff>200025</xdr:colOff>
      <xdr:row>1</xdr:row>
      <xdr:rowOff>190500</xdr:rowOff>
    </xdr:to>
    <xdr:cxnSp macro="">
      <xdr:nvCxnSpPr>
        <xdr:cNvPr id="24" name="AutoShape 41"/>
        <xdr:cNvCxnSpPr>
          <a:cxnSpLocks noChangeShapeType="1"/>
          <a:stCxn id="11" idx="0"/>
        </xdr:cNvCxnSpPr>
      </xdr:nvCxnSpPr>
      <xdr:spPr bwMode="auto">
        <a:xfrm flipV="1">
          <a:off x="13325475" y="342900"/>
          <a:ext cx="0" cy="762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diamond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200025</xdr:colOff>
      <xdr:row>2</xdr:row>
      <xdr:rowOff>171450</xdr:rowOff>
    </xdr:from>
    <xdr:to>
      <xdr:col>13</xdr:col>
      <xdr:colOff>200025</xdr:colOff>
      <xdr:row>5</xdr:row>
      <xdr:rowOff>57150</xdr:rowOff>
    </xdr:to>
    <xdr:cxnSp macro="">
      <xdr:nvCxnSpPr>
        <xdr:cNvPr id="25" name="AutoShape 42"/>
        <xdr:cNvCxnSpPr>
          <a:cxnSpLocks noChangeShapeType="1"/>
          <a:stCxn id="11" idx="4"/>
        </xdr:cNvCxnSpPr>
      </xdr:nvCxnSpPr>
      <xdr:spPr bwMode="auto">
        <a:xfrm>
          <a:off x="13325475" y="590550"/>
          <a:ext cx="0" cy="40005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diamond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1971675</xdr:colOff>
      <xdr:row>7</xdr:row>
      <xdr:rowOff>85725</xdr:rowOff>
    </xdr:from>
    <xdr:to>
      <xdr:col>4</xdr:col>
      <xdr:colOff>1971675</xdr:colOff>
      <xdr:row>9</xdr:row>
      <xdr:rowOff>0</xdr:rowOff>
    </xdr:to>
    <xdr:cxnSp macro="">
      <xdr:nvCxnSpPr>
        <xdr:cNvPr id="26" name="AutoShape 43"/>
        <xdr:cNvCxnSpPr>
          <a:cxnSpLocks noChangeShapeType="1"/>
        </xdr:cNvCxnSpPr>
      </xdr:nvCxnSpPr>
      <xdr:spPr bwMode="auto">
        <a:xfrm rot="5400000">
          <a:off x="7767637" y="1557338"/>
          <a:ext cx="2381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485775</xdr:colOff>
      <xdr:row>7</xdr:row>
      <xdr:rowOff>76200</xdr:rowOff>
    </xdr:from>
    <xdr:to>
      <xdr:col>5</xdr:col>
      <xdr:colOff>485775</xdr:colOff>
      <xdr:row>9</xdr:row>
      <xdr:rowOff>0</xdr:rowOff>
    </xdr:to>
    <xdr:cxnSp macro="">
      <xdr:nvCxnSpPr>
        <xdr:cNvPr id="27" name="AutoShape 44"/>
        <xdr:cNvCxnSpPr>
          <a:cxnSpLocks noChangeShapeType="1"/>
        </xdr:cNvCxnSpPr>
      </xdr:nvCxnSpPr>
      <xdr:spPr bwMode="auto">
        <a:xfrm rot="5400000">
          <a:off x="8505825" y="1552575"/>
          <a:ext cx="247650" cy="0"/>
        </a:xfrm>
        <a:prstGeom prst="straightConnector1">
          <a:avLst/>
        </a:prstGeom>
        <a:noFill/>
        <a:ln w="9525">
          <a:solidFill>
            <a:srgbClr val="000000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1057275</xdr:colOff>
      <xdr:row>13</xdr:row>
      <xdr:rowOff>276225</xdr:rowOff>
    </xdr:from>
    <xdr:to>
      <xdr:col>4</xdr:col>
      <xdr:colOff>1057275</xdr:colOff>
      <xdr:row>14</xdr:row>
      <xdr:rowOff>57150</xdr:rowOff>
    </xdr:to>
    <xdr:cxnSp macro="">
      <xdr:nvCxnSpPr>
        <xdr:cNvPr id="28" name="AutoShape 45"/>
        <xdr:cNvCxnSpPr>
          <a:cxnSpLocks noChangeShapeType="1"/>
        </xdr:cNvCxnSpPr>
      </xdr:nvCxnSpPr>
      <xdr:spPr bwMode="auto">
        <a:xfrm rot="5400000">
          <a:off x="6834187" y="2624138"/>
          <a:ext cx="2762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66675</xdr:colOff>
      <xdr:row>1</xdr:row>
      <xdr:rowOff>66675</xdr:rowOff>
    </xdr:from>
    <xdr:to>
      <xdr:col>4</xdr:col>
      <xdr:colOff>2133600</xdr:colOff>
      <xdr:row>5</xdr:row>
      <xdr:rowOff>104775</xdr:rowOff>
    </xdr:to>
    <xdr:grpSp>
      <xdr:nvGrpSpPr>
        <xdr:cNvPr id="29" name="Group 41"/>
        <xdr:cNvGrpSpPr>
          <a:grpSpLocks/>
        </xdr:cNvGrpSpPr>
      </xdr:nvGrpSpPr>
      <xdr:grpSpPr bwMode="auto">
        <a:xfrm>
          <a:off x="3009900" y="314325"/>
          <a:ext cx="5038725" cy="723900"/>
          <a:chOff x="548" y="73"/>
          <a:chExt cx="552" cy="51"/>
        </a:xfrm>
      </xdr:grpSpPr>
      <xdr:sp macro="" textlink="">
        <xdr:nvSpPr>
          <xdr:cNvPr id="30" name="Rectangle 42"/>
          <xdr:cNvSpPr>
            <a:spLocks noChangeArrowheads="1"/>
          </xdr:cNvSpPr>
        </xdr:nvSpPr>
        <xdr:spPr bwMode="auto">
          <a:xfrm>
            <a:off x="570" y="73"/>
            <a:ext cx="505" cy="51"/>
          </a:xfrm>
          <a:prstGeom prst="rect">
            <a:avLst/>
          </a:prstGeom>
          <a:solidFill>
            <a:srgbClr val="0000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r>
              <a:rPr lang="en-GB" sz="1600" b="1" i="0" strike="noStrike">
                <a:solidFill>
                  <a:srgbClr val="FFFFFF"/>
                </a:solidFill>
                <a:latin typeface="Arial"/>
                <a:cs typeface="Arial"/>
              </a:rPr>
              <a:t>PROCESS FLOW CHART</a:t>
            </a:r>
          </a:p>
        </xdr:txBody>
      </xdr:sp>
      <xdr:sp macro="" textlink="">
        <xdr:nvSpPr>
          <xdr:cNvPr id="31" name="Oval 43"/>
          <xdr:cNvSpPr>
            <a:spLocks noChangeArrowheads="1"/>
          </xdr:cNvSpPr>
        </xdr:nvSpPr>
        <xdr:spPr bwMode="auto">
          <a:xfrm>
            <a:off x="548" y="73"/>
            <a:ext cx="52" cy="50"/>
          </a:xfrm>
          <a:prstGeom prst="ellipse">
            <a:avLst/>
          </a:prstGeom>
          <a:solidFill>
            <a:srgbClr val="0000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2" name="Oval 44"/>
          <xdr:cNvSpPr>
            <a:spLocks noChangeArrowheads="1"/>
          </xdr:cNvSpPr>
        </xdr:nvSpPr>
        <xdr:spPr bwMode="auto">
          <a:xfrm>
            <a:off x="1048" y="73"/>
            <a:ext cx="52" cy="50"/>
          </a:xfrm>
          <a:prstGeom prst="ellipse">
            <a:avLst/>
          </a:prstGeom>
          <a:solidFill>
            <a:srgbClr val="0000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</xdr:row>
          <xdr:rowOff>0</xdr:rowOff>
        </xdr:from>
        <xdr:to>
          <xdr:col>2</xdr:col>
          <xdr:colOff>438150</xdr:colOff>
          <xdr:row>6</xdr:row>
          <xdr:rowOff>200025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6</xdr:row>
          <xdr:rowOff>0</xdr:rowOff>
        </xdr:from>
        <xdr:to>
          <xdr:col>2</xdr:col>
          <xdr:colOff>952500</xdr:colOff>
          <xdr:row>6</xdr:row>
          <xdr:rowOff>190500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6</xdr:row>
          <xdr:rowOff>9525</xdr:rowOff>
        </xdr:from>
        <xdr:to>
          <xdr:col>6</xdr:col>
          <xdr:colOff>1257300</xdr:colOff>
          <xdr:row>6</xdr:row>
          <xdr:rowOff>209550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133350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104775</xdr:colOff>
      <xdr:row>7</xdr:row>
      <xdr:rowOff>76200</xdr:rowOff>
    </xdr:from>
    <xdr:to>
      <xdr:col>3</xdr:col>
      <xdr:colOff>390525</xdr:colOff>
      <xdr:row>9</xdr:row>
      <xdr:rowOff>0</xdr:rowOff>
    </xdr:to>
    <xdr:sp macro="" textlink="">
      <xdr:nvSpPr>
        <xdr:cNvPr id="37" name="Oval 7"/>
        <xdr:cNvSpPr>
          <a:spLocks noChangeArrowheads="1"/>
        </xdr:cNvSpPr>
      </xdr:nvSpPr>
      <xdr:spPr bwMode="auto">
        <a:xfrm>
          <a:off x="5286375" y="1428750"/>
          <a:ext cx="285750" cy="2476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</xdr:sp>
    <xdr:clientData/>
  </xdr:twoCellAnchor>
  <xdr:twoCellAnchor>
    <xdr:from>
      <xdr:col>2</xdr:col>
      <xdr:colOff>1866900</xdr:colOff>
      <xdr:row>7</xdr:row>
      <xdr:rowOff>76200</xdr:rowOff>
    </xdr:from>
    <xdr:to>
      <xdr:col>2</xdr:col>
      <xdr:colOff>2152650</xdr:colOff>
      <xdr:row>9</xdr:row>
      <xdr:rowOff>0</xdr:rowOff>
    </xdr:to>
    <xdr:sp macro="" textlink="">
      <xdr:nvSpPr>
        <xdr:cNvPr id="38" name="Oval 7"/>
        <xdr:cNvSpPr>
          <a:spLocks noChangeArrowheads="1"/>
        </xdr:cNvSpPr>
      </xdr:nvSpPr>
      <xdr:spPr bwMode="auto">
        <a:xfrm>
          <a:off x="4810125" y="1428750"/>
          <a:ext cx="285750" cy="2476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</a:extLst>
      </xdr:spPr>
    </xdr:sp>
    <xdr:clientData/>
  </xdr:twoCellAnchor>
  <xdr:twoCellAnchor>
    <xdr:from>
      <xdr:col>3</xdr:col>
      <xdr:colOff>600075</xdr:colOff>
      <xdr:row>7</xdr:row>
      <xdr:rowOff>66675</xdr:rowOff>
    </xdr:from>
    <xdr:to>
      <xdr:col>4</xdr:col>
      <xdr:colOff>152400</xdr:colOff>
      <xdr:row>8</xdr:row>
      <xdr:rowOff>152400</xdr:rowOff>
    </xdr:to>
    <xdr:sp macro="" textlink="">
      <xdr:nvSpPr>
        <xdr:cNvPr id="39" name="Oval 7"/>
        <xdr:cNvSpPr>
          <a:spLocks noChangeArrowheads="1"/>
        </xdr:cNvSpPr>
      </xdr:nvSpPr>
      <xdr:spPr bwMode="auto">
        <a:xfrm>
          <a:off x="5781675" y="1419225"/>
          <a:ext cx="285750" cy="2476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9</xdr:row>
      <xdr:rowOff>47625</xdr:rowOff>
    </xdr:from>
    <xdr:to>
      <xdr:col>3</xdr:col>
      <xdr:colOff>447675</xdr:colOff>
      <xdr:row>10</xdr:row>
      <xdr:rowOff>95250</xdr:rowOff>
    </xdr:to>
    <xdr:sp macro="" textlink="">
      <xdr:nvSpPr>
        <xdr:cNvPr id="40" name="Text Box 33"/>
        <xdr:cNvSpPr txBox="1">
          <a:spLocks noChangeArrowheads="1"/>
        </xdr:cNvSpPr>
      </xdr:nvSpPr>
      <xdr:spPr bwMode="auto">
        <a:xfrm>
          <a:off x="5219700" y="1724025"/>
          <a:ext cx="4095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CC</a:t>
          </a:r>
        </a:p>
      </xdr:txBody>
    </xdr:sp>
    <xdr:clientData/>
  </xdr:twoCellAnchor>
  <xdr:twoCellAnchor>
    <xdr:from>
      <xdr:col>3</xdr:col>
      <xdr:colOff>523875</xdr:colOff>
      <xdr:row>9</xdr:row>
      <xdr:rowOff>38100</xdr:rowOff>
    </xdr:from>
    <xdr:to>
      <xdr:col>4</xdr:col>
      <xdr:colOff>200025</xdr:colOff>
      <xdr:row>10</xdr:row>
      <xdr:rowOff>85725</xdr:rowOff>
    </xdr:to>
    <xdr:sp macro="" textlink="">
      <xdr:nvSpPr>
        <xdr:cNvPr id="41" name="Text Box 33"/>
        <xdr:cNvSpPr txBox="1">
          <a:spLocks noChangeArrowheads="1"/>
        </xdr:cNvSpPr>
      </xdr:nvSpPr>
      <xdr:spPr bwMode="auto">
        <a:xfrm>
          <a:off x="5705475" y="1714500"/>
          <a:ext cx="4095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SC</a:t>
          </a:r>
        </a:p>
      </xdr:txBody>
    </xdr:sp>
    <xdr:clientData/>
  </xdr:twoCellAnchor>
  <xdr:twoCellAnchor>
    <xdr:from>
      <xdr:col>2</xdr:col>
      <xdr:colOff>1790700</xdr:colOff>
      <xdr:row>9</xdr:row>
      <xdr:rowOff>38100</xdr:rowOff>
    </xdr:from>
    <xdr:to>
      <xdr:col>2</xdr:col>
      <xdr:colOff>2200275</xdr:colOff>
      <xdr:row>10</xdr:row>
      <xdr:rowOff>85725</xdr:rowOff>
    </xdr:to>
    <xdr:sp macro="" textlink="">
      <xdr:nvSpPr>
        <xdr:cNvPr id="42" name="Text Box 33"/>
        <xdr:cNvSpPr txBox="1">
          <a:spLocks noChangeArrowheads="1"/>
        </xdr:cNvSpPr>
      </xdr:nvSpPr>
      <xdr:spPr bwMode="auto">
        <a:xfrm>
          <a:off x="4733925" y="1714500"/>
          <a:ext cx="4095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HI</a:t>
          </a:r>
        </a:p>
      </xdr:txBody>
    </xdr:sp>
    <xdr:clientData/>
  </xdr:twoCellAnchor>
  <xdr:twoCellAnchor>
    <xdr:from>
      <xdr:col>1</xdr:col>
      <xdr:colOff>600075</xdr:colOff>
      <xdr:row>7</xdr:row>
      <xdr:rowOff>76200</xdr:rowOff>
    </xdr:from>
    <xdr:to>
      <xdr:col>1</xdr:col>
      <xdr:colOff>1266825</xdr:colOff>
      <xdr:row>9</xdr:row>
      <xdr:rowOff>47625</xdr:rowOff>
    </xdr:to>
    <xdr:sp macro="" textlink="">
      <xdr:nvSpPr>
        <xdr:cNvPr id="43" name="Rectangle 8"/>
        <xdr:cNvSpPr>
          <a:spLocks noChangeArrowheads="1"/>
        </xdr:cNvSpPr>
      </xdr:nvSpPr>
      <xdr:spPr bwMode="auto">
        <a:xfrm>
          <a:off x="1790700" y="1428750"/>
          <a:ext cx="666750" cy="295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prstDash val="dash"/>
          <a:miter lim="800000"/>
          <a:headEnd/>
          <a:tailEnd/>
        </a:ln>
      </xdr:spPr>
      <xdr:txBody>
        <a:bodyPr vertOverflow="clip" wrap="square" lIns="91440" tIns="45720" rIns="91440" bIns="45720" anchor="t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Re-Work</a:t>
          </a:r>
        </a:p>
      </xdr:txBody>
    </xdr:sp>
    <xdr:clientData/>
  </xdr:twoCellAnchor>
  <xdr:twoCellAnchor>
    <xdr:from>
      <xdr:col>1</xdr:col>
      <xdr:colOff>561975</xdr:colOff>
      <xdr:row>9</xdr:row>
      <xdr:rowOff>85725</xdr:rowOff>
    </xdr:from>
    <xdr:to>
      <xdr:col>1</xdr:col>
      <xdr:colOff>1285875</xdr:colOff>
      <xdr:row>10</xdr:row>
      <xdr:rowOff>133350</xdr:rowOff>
    </xdr:to>
    <xdr:sp macro="" textlink="">
      <xdr:nvSpPr>
        <xdr:cNvPr id="44" name="Text Box 36"/>
        <xdr:cNvSpPr txBox="1">
          <a:spLocks noChangeArrowheads="1"/>
        </xdr:cNvSpPr>
      </xdr:nvSpPr>
      <xdr:spPr bwMode="auto">
        <a:xfrm>
          <a:off x="1752600" y="1762125"/>
          <a:ext cx="7239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Re-Work Route</a:t>
          </a:r>
        </a:p>
      </xdr:txBody>
    </xdr:sp>
    <xdr:clientData/>
  </xdr:twoCellAnchor>
  <xdr:twoCellAnchor>
    <xdr:from>
      <xdr:col>10</xdr:col>
      <xdr:colOff>85725</xdr:colOff>
      <xdr:row>7</xdr:row>
      <xdr:rowOff>47625</xdr:rowOff>
    </xdr:from>
    <xdr:to>
      <xdr:col>15</xdr:col>
      <xdr:colOff>152400</xdr:colOff>
      <xdr:row>10</xdr:row>
      <xdr:rowOff>114300</xdr:rowOff>
    </xdr:to>
    <xdr:sp macro="" textlink="">
      <xdr:nvSpPr>
        <xdr:cNvPr id="45" name="Text Box 1248"/>
        <xdr:cNvSpPr txBox="1">
          <a:spLocks noChangeArrowheads="1"/>
        </xdr:cNvSpPr>
      </xdr:nvSpPr>
      <xdr:spPr bwMode="auto">
        <a:xfrm>
          <a:off x="11610975" y="1400175"/>
          <a:ext cx="2733675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Other Symbols that can be used if required.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 move any symbols into flow chart 'COPY ' and 'PASTE'</a:t>
          </a:r>
        </a:p>
      </xdr:txBody>
    </xdr:sp>
    <xdr:clientData/>
  </xdr:twoCellAnchor>
  <xdr:twoCellAnchor>
    <xdr:from>
      <xdr:col>10</xdr:col>
      <xdr:colOff>38100</xdr:colOff>
      <xdr:row>11</xdr:row>
      <xdr:rowOff>85725</xdr:rowOff>
    </xdr:from>
    <xdr:to>
      <xdr:col>15</xdr:col>
      <xdr:colOff>238125</xdr:colOff>
      <xdr:row>14</xdr:row>
      <xdr:rowOff>381000</xdr:rowOff>
    </xdr:to>
    <xdr:sp macro="" textlink="">
      <xdr:nvSpPr>
        <xdr:cNvPr id="46" name="Text Box 1249"/>
        <xdr:cNvSpPr txBox="1">
          <a:spLocks noChangeArrowheads="1"/>
        </xdr:cNvSpPr>
      </xdr:nvSpPr>
      <xdr:spPr bwMode="auto">
        <a:xfrm>
          <a:off x="11563350" y="2085975"/>
          <a:ext cx="2867025" cy="1000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 Change the' Process No ' to increments of 10 -- 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 Left Click on number you want to change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2.Formula will appear in data box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3. Change the last number in the formula  100 to 10 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4. Then  left click outside the chart.</a:t>
          </a: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10</xdr:col>
      <xdr:colOff>47625</xdr:colOff>
      <xdr:row>16</xdr:row>
      <xdr:rowOff>38100</xdr:rowOff>
    </xdr:from>
    <xdr:to>
      <xdr:col>15</xdr:col>
      <xdr:colOff>238125</xdr:colOff>
      <xdr:row>22</xdr:row>
      <xdr:rowOff>152400</xdr:rowOff>
    </xdr:to>
    <xdr:sp macro="" textlink="">
      <xdr:nvSpPr>
        <xdr:cNvPr id="47" name="Text Box 1250"/>
        <xdr:cNvSpPr txBox="1">
          <a:spLocks noChangeArrowheads="1"/>
        </xdr:cNvSpPr>
      </xdr:nvSpPr>
      <xdr:spPr bwMode="auto">
        <a:xfrm>
          <a:off x="11572875" y="3733800"/>
          <a:ext cx="2857500" cy="2085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 open up lines on flow chart .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1.Highlight line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  ALT F8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3.Expand Row Form   -Run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4. Type the row number to be expanded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5.Click on amount of rows you want -Expand</a:t>
          </a:r>
        </a:p>
      </xdr:txBody>
    </xdr:sp>
    <xdr:clientData/>
  </xdr:twoCellAnchor>
  <xdr:twoCellAnchor>
    <xdr:from>
      <xdr:col>0</xdr:col>
      <xdr:colOff>28575</xdr:colOff>
      <xdr:row>11</xdr:row>
      <xdr:rowOff>28575</xdr:rowOff>
    </xdr:from>
    <xdr:to>
      <xdr:col>1</xdr:col>
      <xdr:colOff>1743075</xdr:colOff>
      <xdr:row>11</xdr:row>
      <xdr:rowOff>180975</xdr:rowOff>
    </xdr:to>
    <xdr:sp macro="" textlink="">
      <xdr:nvSpPr>
        <xdr:cNvPr id="48" name="Text Box 1251"/>
        <xdr:cNvSpPr txBox="1">
          <a:spLocks noChangeArrowheads="1"/>
        </xdr:cNvSpPr>
      </xdr:nvSpPr>
      <xdr:spPr bwMode="auto">
        <a:xfrm>
          <a:off x="28575" y="2028825"/>
          <a:ext cx="2905125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FACILITY AND TOOLING</a:t>
          </a:r>
        </a:p>
      </xdr:txBody>
    </xdr:sp>
    <xdr:clientData/>
  </xdr:twoCellAnchor>
  <xdr:twoCellAnchor>
    <xdr:from>
      <xdr:col>10</xdr:col>
      <xdr:colOff>47625</xdr:colOff>
      <xdr:row>23</xdr:row>
      <xdr:rowOff>142875</xdr:rowOff>
    </xdr:from>
    <xdr:to>
      <xdr:col>15</xdr:col>
      <xdr:colOff>95250</xdr:colOff>
      <xdr:row>26</xdr:row>
      <xdr:rowOff>152400</xdr:rowOff>
    </xdr:to>
    <xdr:sp macro="" textlink="">
      <xdr:nvSpPr>
        <xdr:cNvPr id="49" name="Text Box 1252"/>
        <xdr:cNvSpPr txBox="1">
          <a:spLocks noChangeArrowheads="1"/>
        </xdr:cNvSpPr>
      </xdr:nvSpPr>
      <xdr:spPr bwMode="auto">
        <a:xfrm>
          <a:off x="11572875" y="5972175"/>
          <a:ext cx="2714625" cy="495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 wrap text in 'process identification' fields-cursor where you want the break in the text at the top of the screen and press 'ALT ,Enter'</a:t>
          </a:r>
        </a:p>
      </xdr:txBody>
    </xdr:sp>
    <xdr:clientData/>
  </xdr:twoCellAnchor>
  <xdr:twoCellAnchor editAs="oneCell">
    <xdr:from>
      <xdr:col>5</xdr:col>
      <xdr:colOff>638175</xdr:colOff>
      <xdr:row>0</xdr:row>
      <xdr:rowOff>152400</xdr:rowOff>
    </xdr:from>
    <xdr:to>
      <xdr:col>6</xdr:col>
      <xdr:colOff>1152525</xdr:colOff>
      <xdr:row>2</xdr:row>
      <xdr:rowOff>114300</xdr:rowOff>
    </xdr:to>
    <xdr:pic>
      <xdr:nvPicPr>
        <xdr:cNvPr id="50" name="Picture 56" descr="Unipart Powertrain Applications logo Master-Big (2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2050" y="152400"/>
          <a:ext cx="15430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1057275</xdr:colOff>
      <xdr:row>14</xdr:row>
      <xdr:rowOff>333375</xdr:rowOff>
    </xdr:from>
    <xdr:to>
      <xdr:col>4</xdr:col>
      <xdr:colOff>1057275</xdr:colOff>
      <xdr:row>15</xdr:row>
      <xdr:rowOff>114300</xdr:rowOff>
    </xdr:to>
    <xdr:cxnSp macro="">
      <xdr:nvCxnSpPr>
        <xdr:cNvPr id="51" name="AutoShape 45"/>
        <xdr:cNvCxnSpPr>
          <a:cxnSpLocks noChangeShapeType="1"/>
        </xdr:cNvCxnSpPr>
      </xdr:nvCxnSpPr>
      <xdr:spPr bwMode="auto">
        <a:xfrm rot="5400000">
          <a:off x="6834187" y="3176588"/>
          <a:ext cx="2762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1057275</xdr:colOff>
      <xdr:row>15</xdr:row>
      <xdr:rowOff>333375</xdr:rowOff>
    </xdr:from>
    <xdr:to>
      <xdr:col>4</xdr:col>
      <xdr:colOff>1057275</xdr:colOff>
      <xdr:row>16</xdr:row>
      <xdr:rowOff>114300</xdr:rowOff>
    </xdr:to>
    <xdr:cxnSp macro="">
      <xdr:nvCxnSpPr>
        <xdr:cNvPr id="52" name="AutoShape 45"/>
        <xdr:cNvCxnSpPr>
          <a:cxnSpLocks noChangeShapeType="1"/>
        </xdr:cNvCxnSpPr>
      </xdr:nvCxnSpPr>
      <xdr:spPr bwMode="auto">
        <a:xfrm rot="5400000">
          <a:off x="6834187" y="3671888"/>
          <a:ext cx="2762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1057275</xdr:colOff>
      <xdr:row>16</xdr:row>
      <xdr:rowOff>352425</xdr:rowOff>
    </xdr:from>
    <xdr:to>
      <xdr:col>4</xdr:col>
      <xdr:colOff>1057275</xdr:colOff>
      <xdr:row>17</xdr:row>
      <xdr:rowOff>133350</xdr:rowOff>
    </xdr:to>
    <xdr:cxnSp macro="">
      <xdr:nvCxnSpPr>
        <xdr:cNvPr id="53" name="AutoShape 45"/>
        <xdr:cNvCxnSpPr>
          <a:cxnSpLocks noChangeShapeType="1"/>
        </xdr:cNvCxnSpPr>
      </xdr:nvCxnSpPr>
      <xdr:spPr bwMode="auto">
        <a:xfrm rot="5400000">
          <a:off x="6834187" y="4186238"/>
          <a:ext cx="2762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0</xdr:colOff>
      <xdr:row>13</xdr:row>
      <xdr:rowOff>0</xdr:rowOff>
    </xdr:from>
    <xdr:to>
      <xdr:col>4</xdr:col>
      <xdr:colOff>400050</xdr:colOff>
      <xdr:row>13</xdr:row>
      <xdr:rowOff>333375</xdr:rowOff>
    </xdr:to>
    <xdr:sp macro="" textlink="">
      <xdr:nvSpPr>
        <xdr:cNvPr id="54" name="AutoShape 2"/>
        <xdr:cNvSpPr>
          <a:spLocks noChangeArrowheads="1"/>
        </xdr:cNvSpPr>
      </xdr:nvSpPr>
      <xdr:spPr bwMode="auto">
        <a:xfrm>
          <a:off x="5915025" y="2209800"/>
          <a:ext cx="400050" cy="333375"/>
        </a:xfrm>
        <a:custGeom>
          <a:avLst/>
          <a:gdLst>
            <a:gd name="T0" fmla="*/ 2147483647 w 21600"/>
            <a:gd name="T1" fmla="*/ 2147483647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4500 w 21600"/>
            <a:gd name="T13" fmla="*/ 4500 h 21600"/>
            <a:gd name="T14" fmla="*/ 17100 w 21600"/>
            <a:gd name="T15" fmla="*/ 171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12</a:t>
          </a:r>
        </a:p>
      </xdr:txBody>
    </xdr:sp>
    <xdr:clientData/>
  </xdr:twoCellAnchor>
  <xdr:twoCellAnchor>
    <xdr:from>
      <xdr:col>4</xdr:col>
      <xdr:colOff>914400</xdr:colOff>
      <xdr:row>14</xdr:row>
      <xdr:rowOff>76200</xdr:rowOff>
    </xdr:from>
    <xdr:to>
      <xdr:col>4</xdr:col>
      <xdr:colOff>1200150</xdr:colOff>
      <xdr:row>14</xdr:row>
      <xdr:rowOff>323850</xdr:rowOff>
    </xdr:to>
    <xdr:sp macro="" textlink="">
      <xdr:nvSpPr>
        <xdr:cNvPr id="55" name="Oval 7"/>
        <xdr:cNvSpPr>
          <a:spLocks noChangeArrowheads="1"/>
        </xdr:cNvSpPr>
      </xdr:nvSpPr>
      <xdr:spPr bwMode="auto">
        <a:xfrm>
          <a:off x="6829425" y="2781300"/>
          <a:ext cx="285750" cy="2476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1676400</xdr:colOff>
      <xdr:row>18</xdr:row>
      <xdr:rowOff>104775</xdr:rowOff>
    </xdr:from>
    <xdr:to>
      <xdr:col>4</xdr:col>
      <xdr:colOff>2066925</xdr:colOff>
      <xdr:row>18</xdr:row>
      <xdr:rowOff>352425</xdr:rowOff>
    </xdr:to>
    <xdr:sp macro="" textlink="">
      <xdr:nvSpPr>
        <xdr:cNvPr id="56" name="AutoShape 4"/>
        <xdr:cNvSpPr>
          <a:spLocks noChangeArrowheads="1"/>
        </xdr:cNvSpPr>
      </xdr:nvSpPr>
      <xdr:spPr bwMode="auto">
        <a:xfrm>
          <a:off x="7591425" y="4791075"/>
          <a:ext cx="390525" cy="2476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1333500</xdr:colOff>
      <xdr:row>18</xdr:row>
      <xdr:rowOff>247650</xdr:rowOff>
    </xdr:from>
    <xdr:to>
      <xdr:col>4</xdr:col>
      <xdr:colOff>1609725</xdr:colOff>
      <xdr:row>18</xdr:row>
      <xdr:rowOff>257175</xdr:rowOff>
    </xdr:to>
    <xdr:cxnSp macro="">
      <xdr:nvCxnSpPr>
        <xdr:cNvPr id="57" name="AutoShape 45"/>
        <xdr:cNvCxnSpPr>
          <a:cxnSpLocks noChangeShapeType="1"/>
        </xdr:cNvCxnSpPr>
      </xdr:nvCxnSpPr>
      <xdr:spPr bwMode="auto">
        <a:xfrm flipV="1">
          <a:off x="7248525" y="4933950"/>
          <a:ext cx="276225" cy="95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1066800</xdr:colOff>
      <xdr:row>17</xdr:row>
      <xdr:rowOff>390525</xdr:rowOff>
    </xdr:from>
    <xdr:to>
      <xdr:col>4</xdr:col>
      <xdr:colOff>1066800</xdr:colOff>
      <xdr:row>18</xdr:row>
      <xdr:rowOff>171450</xdr:rowOff>
    </xdr:to>
    <xdr:cxnSp macro="">
      <xdr:nvCxnSpPr>
        <xdr:cNvPr id="58" name="AutoShape 45"/>
        <xdr:cNvCxnSpPr>
          <a:cxnSpLocks noChangeShapeType="1"/>
        </xdr:cNvCxnSpPr>
      </xdr:nvCxnSpPr>
      <xdr:spPr bwMode="auto">
        <a:xfrm rot="5400000">
          <a:off x="6843712" y="4719638"/>
          <a:ext cx="2762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895350</xdr:colOff>
      <xdr:row>16</xdr:row>
      <xdr:rowOff>133350</xdr:rowOff>
    </xdr:from>
    <xdr:to>
      <xdr:col>4</xdr:col>
      <xdr:colOff>1181100</xdr:colOff>
      <xdr:row>16</xdr:row>
      <xdr:rowOff>381000</xdr:rowOff>
    </xdr:to>
    <xdr:sp macro="" textlink="">
      <xdr:nvSpPr>
        <xdr:cNvPr id="59" name="Oval 7"/>
        <xdr:cNvSpPr>
          <a:spLocks noChangeArrowheads="1"/>
        </xdr:cNvSpPr>
      </xdr:nvSpPr>
      <xdr:spPr bwMode="auto">
        <a:xfrm>
          <a:off x="6810375" y="3829050"/>
          <a:ext cx="285750" cy="2476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933450</xdr:colOff>
      <xdr:row>18</xdr:row>
      <xdr:rowOff>219075</xdr:rowOff>
    </xdr:from>
    <xdr:to>
      <xdr:col>4</xdr:col>
      <xdr:colOff>1219200</xdr:colOff>
      <xdr:row>18</xdr:row>
      <xdr:rowOff>466725</xdr:rowOff>
    </xdr:to>
    <xdr:sp macro="" textlink="">
      <xdr:nvSpPr>
        <xdr:cNvPr id="60" name="Oval 7"/>
        <xdr:cNvSpPr>
          <a:spLocks noChangeArrowheads="1"/>
        </xdr:cNvSpPr>
      </xdr:nvSpPr>
      <xdr:spPr bwMode="auto">
        <a:xfrm>
          <a:off x="6848475" y="4905375"/>
          <a:ext cx="285750" cy="2476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</a:extLst>
      </xdr:spPr>
    </xdr:sp>
    <xdr:clientData/>
  </xdr:twoCellAnchor>
  <xdr:twoCellAnchor>
    <xdr:from>
      <xdr:col>4</xdr:col>
      <xdr:colOff>895350</xdr:colOff>
      <xdr:row>13</xdr:row>
      <xdr:rowOff>0</xdr:rowOff>
    </xdr:from>
    <xdr:to>
      <xdr:col>4</xdr:col>
      <xdr:colOff>1181100</xdr:colOff>
      <xdr:row>13</xdr:row>
      <xdr:rowOff>247650</xdr:rowOff>
    </xdr:to>
    <xdr:sp macro="" textlink="">
      <xdr:nvSpPr>
        <xdr:cNvPr id="61" name="Oval 7"/>
        <xdr:cNvSpPr>
          <a:spLocks noChangeArrowheads="1"/>
        </xdr:cNvSpPr>
      </xdr:nvSpPr>
      <xdr:spPr bwMode="auto">
        <a:xfrm>
          <a:off x="6810375" y="2209800"/>
          <a:ext cx="285750" cy="2476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</xdr:sp>
    <xdr:clientData/>
  </xdr:twoCellAnchor>
  <xdr:twoCellAnchor>
    <xdr:from>
      <xdr:col>4</xdr:col>
      <xdr:colOff>904875</xdr:colOff>
      <xdr:row>15</xdr:row>
      <xdr:rowOff>104775</xdr:rowOff>
    </xdr:from>
    <xdr:to>
      <xdr:col>4</xdr:col>
      <xdr:colOff>1190625</xdr:colOff>
      <xdr:row>15</xdr:row>
      <xdr:rowOff>352425</xdr:rowOff>
    </xdr:to>
    <xdr:sp macro="" textlink="">
      <xdr:nvSpPr>
        <xdr:cNvPr id="62" name="Oval 7"/>
        <xdr:cNvSpPr>
          <a:spLocks noChangeArrowheads="1"/>
        </xdr:cNvSpPr>
      </xdr:nvSpPr>
      <xdr:spPr bwMode="auto">
        <a:xfrm>
          <a:off x="6819900" y="3305175"/>
          <a:ext cx="285750" cy="2476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</xdr:sp>
    <xdr:clientData/>
  </xdr:twoCellAnchor>
  <xdr:twoCellAnchor>
    <xdr:from>
      <xdr:col>4</xdr:col>
      <xdr:colOff>904875</xdr:colOff>
      <xdr:row>17</xdr:row>
      <xdr:rowOff>152400</xdr:rowOff>
    </xdr:from>
    <xdr:to>
      <xdr:col>4</xdr:col>
      <xdr:colOff>1190625</xdr:colOff>
      <xdr:row>17</xdr:row>
      <xdr:rowOff>400050</xdr:rowOff>
    </xdr:to>
    <xdr:sp macro="" textlink="">
      <xdr:nvSpPr>
        <xdr:cNvPr id="63" name="Oval 7"/>
        <xdr:cNvSpPr>
          <a:spLocks noChangeArrowheads="1"/>
        </xdr:cNvSpPr>
      </xdr:nvSpPr>
      <xdr:spPr bwMode="auto">
        <a:xfrm>
          <a:off x="6819900" y="4343400"/>
          <a:ext cx="285750" cy="2476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0</xdr:row>
      <xdr:rowOff>9525</xdr:rowOff>
    </xdr:from>
    <xdr:to>
      <xdr:col>3</xdr:col>
      <xdr:colOff>171450</xdr:colOff>
      <xdr:row>1</xdr:row>
      <xdr:rowOff>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>
    <xdr:from>
      <xdr:col>3</xdr:col>
      <xdr:colOff>361950</xdr:colOff>
      <xdr:row>0</xdr:row>
      <xdr:rowOff>57150</xdr:rowOff>
    </xdr:from>
    <xdr:to>
      <xdr:col>3</xdr:col>
      <xdr:colOff>781050</xdr:colOff>
      <xdr:row>1</xdr:row>
      <xdr:rowOff>47625</xdr:rowOff>
    </xdr:to>
    <xdr:sp macro="" textlink="">
      <xdr:nvSpPr>
        <xdr:cNvPr id="3" name="RowMacroCB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>
    <xdr:from>
      <xdr:col>2</xdr:col>
      <xdr:colOff>0</xdr:colOff>
      <xdr:row>0</xdr:row>
      <xdr:rowOff>9525</xdr:rowOff>
    </xdr:from>
    <xdr:to>
      <xdr:col>3</xdr:col>
      <xdr:colOff>171450</xdr:colOff>
      <xdr:row>1</xdr:row>
      <xdr:rowOff>0</xdr:rowOff>
    </xdr:to>
    <xdr:pic>
      <xdr:nvPicPr>
        <xdr:cNvPr id="1025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525"/>
          <a:ext cx="7810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</xdr:col>
      <xdr:colOff>361950</xdr:colOff>
      <xdr:row>0</xdr:row>
      <xdr:rowOff>57150</xdr:rowOff>
    </xdr:from>
    <xdr:to>
      <xdr:col>4</xdr:col>
      <xdr:colOff>0</xdr:colOff>
      <xdr:row>1</xdr:row>
      <xdr:rowOff>47625</xdr:rowOff>
    </xdr:to>
    <xdr:pic>
      <xdr:nvPicPr>
        <xdr:cNvPr id="1026" name="RowMacroCB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57150"/>
          <a:ext cx="247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0</xdr:row>
          <xdr:rowOff>38100</xdr:rowOff>
        </xdr:from>
        <xdr:to>
          <xdr:col>9</xdr:col>
          <xdr:colOff>323850</xdr:colOff>
          <xdr:row>1</xdr:row>
          <xdr:rowOff>28575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104775</xdr:rowOff>
        </xdr:from>
        <xdr:to>
          <xdr:col>3</xdr:col>
          <xdr:colOff>133350</xdr:colOff>
          <xdr:row>6</xdr:row>
          <xdr:rowOff>133350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5</xdr:row>
          <xdr:rowOff>95250</xdr:rowOff>
        </xdr:from>
        <xdr:to>
          <xdr:col>4</xdr:col>
          <xdr:colOff>495300</xdr:colOff>
          <xdr:row>6</xdr:row>
          <xdr:rowOff>123825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14</xdr:col>
      <xdr:colOff>1524000</xdr:colOff>
      <xdr:row>0</xdr:row>
      <xdr:rowOff>57150</xdr:rowOff>
    </xdr:from>
    <xdr:to>
      <xdr:col>15</xdr:col>
      <xdr:colOff>1609725</xdr:colOff>
      <xdr:row>4</xdr:row>
      <xdr:rowOff>0</xdr:rowOff>
    </xdr:to>
    <xdr:pic>
      <xdr:nvPicPr>
        <xdr:cNvPr id="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0425" y="57150"/>
          <a:ext cx="18002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Process%20Flow-FMEA-Control%20Plans\FUEL%20FILLERS%20&amp;%20Carriers\LANDROVER\%23%20L405\PFMEA%20-%20GPLA-9032-AC%20NAS%20DD%20TS\PFMEA%2000293%20L405%20DD%20-%20Bend%20lower%2034.9mm%20pip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er"/>
      <sheetName val="Process Flow"/>
      <sheetName val="Characteristic correlation"/>
      <sheetName val="Effects Matrix"/>
      <sheetName val="PFMEA"/>
      <sheetName val="Control Plan"/>
      <sheetName val="FBM"/>
      <sheetName val="FB1"/>
      <sheetName val="FB1a1"/>
      <sheetName val="FB1a2"/>
      <sheetName val="FB2"/>
      <sheetName val="FB2a1"/>
      <sheetName val="FB3"/>
      <sheetName val="FB3a1"/>
      <sheetName val="FB5"/>
      <sheetName val="FB5a1"/>
      <sheetName val="FB5a2"/>
      <sheetName val="FB6"/>
      <sheetName val="FB6a1"/>
      <sheetName val="FB6a2"/>
      <sheetName val="FB6a3"/>
      <sheetName val="FB7"/>
      <sheetName val="FB7a1"/>
    </sheetNames>
    <sheetDataSet>
      <sheetData sheetId="0">
        <row r="8">
          <cell r="K8">
            <v>42654</v>
          </cell>
        </row>
        <row r="10">
          <cell r="C10" t="str">
            <v>CP 00293</v>
          </cell>
          <cell r="N10">
            <v>42940</v>
          </cell>
        </row>
        <row r="12">
          <cell r="N12">
            <v>42790</v>
          </cell>
        </row>
        <row r="14">
          <cell r="I14" t="str">
            <v>L405 NAS TS DD</v>
          </cell>
        </row>
        <row r="16">
          <cell r="C16" t="str">
            <v>UEP2E50159129000</v>
          </cell>
          <cell r="H16" t="str">
            <v>GPLA-9032-AC</v>
          </cell>
        </row>
        <row r="18">
          <cell r="C18" t="str">
            <v>TL</v>
          </cell>
          <cell r="H18" t="str">
            <v>SE - PROJ MAN, KW - QUALITY, TL - MAN ENG, KH - DESIGN</v>
          </cell>
        </row>
        <row r="20">
          <cell r="L20" t="str">
            <v>UPA</v>
          </cell>
        </row>
        <row r="22">
          <cell r="L22" t="str">
            <v>Bend lower 34.9mm pipe</v>
          </cell>
        </row>
        <row r="26">
          <cell r="C26" t="str">
            <v xml:space="preserve">Other Approval - Date ( If Req'd. )  </v>
          </cell>
          <cell r="K26" t="str">
            <v>Customer Quality Approval - Date ( If Req'd )</v>
          </cell>
        </row>
        <row r="33">
          <cell r="C33" t="str">
            <v>X</v>
          </cell>
          <cell r="D33">
            <v>9</v>
          </cell>
          <cell r="F33">
            <v>0</v>
          </cell>
          <cell r="H33">
            <v>0</v>
          </cell>
          <cell r="J33">
            <v>5</v>
          </cell>
          <cell r="K33">
            <v>8</v>
          </cell>
          <cell r="M33">
            <v>4</v>
          </cell>
          <cell r="N33">
            <v>0</v>
          </cell>
          <cell r="O33" t="str">
            <v>CC</v>
          </cell>
          <cell r="P33" t="str">
            <v>SC</v>
          </cell>
        </row>
        <row r="34">
          <cell r="D34">
            <v>9</v>
          </cell>
          <cell r="F34">
            <v>2</v>
          </cell>
          <cell r="H34">
            <v>2</v>
          </cell>
          <cell r="J34">
            <v>7</v>
          </cell>
          <cell r="K34">
            <v>8</v>
          </cell>
          <cell r="M34">
            <v>3</v>
          </cell>
          <cell r="N34">
            <v>3</v>
          </cell>
          <cell r="O34" t="str">
            <v>C</v>
          </cell>
          <cell r="P34" t="str">
            <v>S</v>
          </cell>
        </row>
        <row r="35">
          <cell r="O35" t="str">
            <v>CC</v>
          </cell>
          <cell r="P35" t="str">
            <v>SC</v>
          </cell>
        </row>
      </sheetData>
      <sheetData sheetId="1">
        <row r="6">
          <cell r="F6" t="str">
            <v>Sheet</v>
          </cell>
          <cell r="G6" t="str">
            <v>1 of 1</v>
          </cell>
        </row>
        <row r="14">
          <cell r="C14" t="str">
            <v>Bend 34.9mm lower pipe</v>
          </cell>
          <cell r="D14">
            <v>10</v>
          </cell>
        </row>
        <row r="15">
          <cell r="C15" t="str">
            <v>Trim pipe to length</v>
          </cell>
          <cell r="D15">
            <v>20</v>
          </cell>
        </row>
        <row r="16">
          <cell r="C16" t="str">
            <v>De-burr</v>
          </cell>
          <cell r="D16">
            <v>30</v>
          </cell>
        </row>
        <row r="17">
          <cell r="C17" t="str">
            <v>Size Pipe</v>
          </cell>
          <cell r="D17">
            <v>40</v>
          </cell>
        </row>
        <row r="18">
          <cell r="C18" t="str">
            <v>End form pipe</v>
          </cell>
          <cell r="D18">
            <v>50</v>
          </cell>
        </row>
        <row r="19">
          <cell r="C19" t="str">
            <v>Wash pipe</v>
          </cell>
          <cell r="D19">
            <v>60</v>
          </cell>
        </row>
      </sheetData>
      <sheetData sheetId="2" refreshError="1"/>
      <sheetData sheetId="3">
        <row r="4">
          <cell r="E4" t="str">
            <v>Next operation / Downstream operation</v>
          </cell>
          <cell r="G4" t="str">
            <v>Part</v>
          </cell>
          <cell r="I4" t="str">
            <v>Sub-System</v>
          </cell>
          <cell r="K4" t="str">
            <v>System</v>
          </cell>
          <cell r="M4" t="str">
            <v>Other System</v>
          </cell>
          <cell r="O4" t="str">
            <v>Item</v>
          </cell>
          <cell r="Q4" t="str">
            <v>Customer Plant</v>
          </cell>
          <cell r="S4" t="str">
            <v>End User</v>
          </cell>
          <cell r="U4" t="str">
            <v>Government Regulations</v>
          </cell>
          <cell r="W4" t="str">
            <v>Any Other</v>
          </cell>
        </row>
        <row r="5">
          <cell r="D5" t="str">
            <v>Severity</v>
          </cell>
          <cell r="E5" t="str">
            <v>See Characteristic Matrix</v>
          </cell>
          <cell r="F5" t="str">
            <v>Severity</v>
          </cell>
          <cell r="H5" t="str">
            <v>Severity</v>
          </cell>
          <cell r="J5" t="str">
            <v>Severity</v>
          </cell>
          <cell r="L5" t="str">
            <v>Severity</v>
          </cell>
          <cell r="N5" t="str">
            <v>Severity</v>
          </cell>
          <cell r="P5" t="str">
            <v>Severity</v>
          </cell>
          <cell r="Q5" t="str">
            <v>Manufacturer, OEM</v>
          </cell>
          <cell r="R5" t="str">
            <v>Severity</v>
          </cell>
          <cell r="S5" t="str">
            <v>Customer</v>
          </cell>
          <cell r="T5" t="str">
            <v>Severity</v>
          </cell>
          <cell r="V5" t="str">
            <v>Severity</v>
          </cell>
          <cell r="W5" t="str">
            <v>Service</v>
          </cell>
          <cell r="X5" t="str">
            <v>Severity</v>
          </cell>
        </row>
        <row r="6">
          <cell r="E6" t="str">
            <v>None</v>
          </cell>
          <cell r="G6" t="str">
            <v>None</v>
          </cell>
          <cell r="I6" t="str">
            <v>None</v>
          </cell>
          <cell r="K6" t="str">
            <v>None</v>
          </cell>
          <cell r="M6" t="str">
            <v>None</v>
          </cell>
          <cell r="O6" t="str">
            <v>None</v>
          </cell>
          <cell r="Q6" t="str">
            <v>None</v>
          </cell>
          <cell r="S6" t="str">
            <v>None</v>
          </cell>
          <cell r="U6" t="str">
            <v>None</v>
          </cell>
          <cell r="W6" t="str">
            <v>None</v>
          </cell>
          <cell r="Y6"/>
          <cell r="Z6">
            <v>0</v>
          </cell>
        </row>
        <row r="7">
          <cell r="E7" t="str">
            <v>None</v>
          </cell>
          <cell r="G7" t="str">
            <v>None</v>
          </cell>
          <cell r="I7" t="str">
            <v>None</v>
          </cell>
          <cell r="K7" t="str">
            <v>None</v>
          </cell>
          <cell r="M7" t="str">
            <v>None</v>
          </cell>
          <cell r="O7" t="str">
            <v>None</v>
          </cell>
          <cell r="Q7" t="str">
            <v>None</v>
          </cell>
          <cell r="S7" t="str">
            <v>None</v>
          </cell>
          <cell r="U7" t="str">
            <v>None</v>
          </cell>
          <cell r="W7" t="str">
            <v>None</v>
          </cell>
          <cell r="Y7"/>
          <cell r="Z7">
            <v>0</v>
          </cell>
        </row>
        <row r="8">
          <cell r="E8" t="str">
            <v>None</v>
          </cell>
          <cell r="G8" t="str">
            <v>None</v>
          </cell>
          <cell r="I8" t="str">
            <v>None</v>
          </cell>
          <cell r="K8" t="str">
            <v>None</v>
          </cell>
          <cell r="M8" t="str">
            <v>None</v>
          </cell>
          <cell r="O8" t="str">
            <v>None</v>
          </cell>
          <cell r="Q8" t="str">
            <v>None</v>
          </cell>
          <cell r="S8" t="str">
            <v>None</v>
          </cell>
          <cell r="U8" t="str">
            <v>None</v>
          </cell>
          <cell r="W8" t="str">
            <v>None</v>
          </cell>
          <cell r="Y8"/>
          <cell r="Z8">
            <v>0</v>
          </cell>
        </row>
        <row r="9">
          <cell r="E9" t="str">
            <v>None</v>
          </cell>
          <cell r="G9" t="str">
            <v>None</v>
          </cell>
          <cell r="I9" t="str">
            <v>None</v>
          </cell>
          <cell r="K9" t="str">
            <v>None</v>
          </cell>
          <cell r="M9" t="str">
            <v>None</v>
          </cell>
          <cell r="O9" t="str">
            <v>None</v>
          </cell>
          <cell r="Q9" t="str">
            <v>None</v>
          </cell>
          <cell r="S9" t="str">
            <v>None</v>
          </cell>
          <cell r="U9" t="str">
            <v>None</v>
          </cell>
          <cell r="W9" t="str">
            <v>None</v>
          </cell>
          <cell r="Y9"/>
          <cell r="Z9">
            <v>0</v>
          </cell>
        </row>
        <row r="11">
          <cell r="E11" t="str">
            <v>Unable to fit and weld parts in robot fixture</v>
          </cell>
          <cell r="F11">
            <v>8</v>
          </cell>
          <cell r="G11" t="str">
            <v>None</v>
          </cell>
          <cell r="I11" t="str">
            <v>None</v>
          </cell>
          <cell r="K11" t="str">
            <v>None</v>
          </cell>
          <cell r="M11" t="str">
            <v>None</v>
          </cell>
          <cell r="O11" t="str">
            <v>None</v>
          </cell>
          <cell r="Q11" t="str">
            <v>Unable to fit system on vehicle</v>
          </cell>
          <cell r="R11">
            <v>8</v>
          </cell>
          <cell r="S11" t="str">
            <v>None</v>
          </cell>
          <cell r="U11" t="str">
            <v>None</v>
          </cell>
          <cell r="W11" t="str">
            <v>None</v>
          </cell>
          <cell r="Y11" t="str">
            <v xml:space="preserve">Unable to fit and weld parts in robot fixture (8)
Unable to fit system on vehicle (8)
</v>
          </cell>
          <cell r="Z11">
            <v>16</v>
          </cell>
        </row>
        <row r="12">
          <cell r="E12" t="str">
            <v>None</v>
          </cell>
          <cell r="G12" t="str">
            <v>None</v>
          </cell>
          <cell r="I12" t="str">
            <v>None</v>
          </cell>
          <cell r="K12" t="str">
            <v>None</v>
          </cell>
          <cell r="M12" t="str">
            <v>None</v>
          </cell>
          <cell r="O12" t="str">
            <v>None</v>
          </cell>
          <cell r="Q12" t="str">
            <v>None</v>
          </cell>
          <cell r="S12" t="str">
            <v>None</v>
          </cell>
          <cell r="U12" t="str">
            <v>None</v>
          </cell>
          <cell r="W12" t="str">
            <v>None</v>
          </cell>
          <cell r="Y12"/>
          <cell r="Z12">
            <v>0</v>
          </cell>
        </row>
        <row r="13">
          <cell r="E13" t="str">
            <v>None</v>
          </cell>
          <cell r="G13" t="str">
            <v>None</v>
          </cell>
          <cell r="I13" t="str">
            <v>None</v>
          </cell>
          <cell r="K13" t="str">
            <v>None</v>
          </cell>
          <cell r="M13" t="str">
            <v>None</v>
          </cell>
          <cell r="O13" t="str">
            <v>None</v>
          </cell>
          <cell r="Q13" t="str">
            <v>None</v>
          </cell>
          <cell r="S13" t="str">
            <v>None</v>
          </cell>
          <cell r="U13" t="str">
            <v>None</v>
          </cell>
          <cell r="W13" t="str">
            <v>None</v>
          </cell>
          <cell r="Y13"/>
          <cell r="Z13">
            <v>0</v>
          </cell>
        </row>
        <row r="14">
          <cell r="E14" t="str">
            <v>None</v>
          </cell>
          <cell r="G14" t="str">
            <v>None</v>
          </cell>
          <cell r="I14" t="str">
            <v>None</v>
          </cell>
          <cell r="K14" t="str">
            <v>None</v>
          </cell>
          <cell r="M14" t="str">
            <v>None</v>
          </cell>
          <cell r="O14" t="str">
            <v>None</v>
          </cell>
          <cell r="Q14" t="str">
            <v>None</v>
          </cell>
          <cell r="S14" t="str">
            <v>None</v>
          </cell>
          <cell r="U14" t="str">
            <v>None</v>
          </cell>
          <cell r="W14" t="str">
            <v>None</v>
          </cell>
          <cell r="Y14"/>
          <cell r="Z14">
            <v>0</v>
          </cell>
        </row>
        <row r="15">
          <cell r="E15" t="str">
            <v>Will fail leak test downstream</v>
          </cell>
          <cell r="F15">
            <v>8</v>
          </cell>
          <cell r="G15" t="str">
            <v>None</v>
          </cell>
          <cell r="I15" t="str">
            <v>None</v>
          </cell>
          <cell r="K15" t="str">
            <v>None</v>
          </cell>
          <cell r="M15" t="str">
            <v>None</v>
          </cell>
          <cell r="O15" t="str">
            <v>None</v>
          </cell>
          <cell r="Q15" t="str">
            <v>None</v>
          </cell>
          <cell r="S15" t="str">
            <v>Fuel leak at customer</v>
          </cell>
          <cell r="T15">
            <v>10</v>
          </cell>
          <cell r="U15" t="str">
            <v>None</v>
          </cell>
          <cell r="W15" t="str">
            <v>None</v>
          </cell>
          <cell r="Y15" t="str">
            <v xml:space="preserve">Will fail leak test downstream (8)
Fuel leak at customer (10)
</v>
          </cell>
          <cell r="Z15">
            <v>18</v>
          </cell>
        </row>
        <row r="16">
          <cell r="E16" t="str">
            <v>None</v>
          </cell>
          <cell r="G16" t="str">
            <v>None</v>
          </cell>
          <cell r="I16" t="str">
            <v>None</v>
          </cell>
          <cell r="K16" t="str">
            <v>None</v>
          </cell>
          <cell r="M16" t="str">
            <v>None</v>
          </cell>
          <cell r="O16" t="str">
            <v>None</v>
          </cell>
          <cell r="Q16" t="str">
            <v>None</v>
          </cell>
          <cell r="S16" t="str">
            <v>None</v>
          </cell>
          <cell r="U16" t="str">
            <v>None</v>
          </cell>
          <cell r="W16" t="str">
            <v>None</v>
          </cell>
          <cell r="Y16"/>
          <cell r="Z16">
            <v>0</v>
          </cell>
        </row>
        <row r="17">
          <cell r="E17" t="str">
            <v>None</v>
          </cell>
          <cell r="G17" t="str">
            <v>None</v>
          </cell>
          <cell r="I17" t="str">
            <v>None</v>
          </cell>
          <cell r="K17" t="str">
            <v>None</v>
          </cell>
          <cell r="M17" t="str">
            <v>None</v>
          </cell>
          <cell r="O17" t="str">
            <v>None</v>
          </cell>
          <cell r="Q17" t="str">
            <v>None</v>
          </cell>
          <cell r="S17" t="str">
            <v>None</v>
          </cell>
          <cell r="U17" t="str">
            <v>None</v>
          </cell>
          <cell r="W17" t="str">
            <v>None</v>
          </cell>
          <cell r="Y17"/>
          <cell r="Z17">
            <v>0</v>
          </cell>
        </row>
        <row r="18">
          <cell r="E18" t="str">
            <v>None</v>
          </cell>
          <cell r="G18" t="str">
            <v>None</v>
          </cell>
          <cell r="I18" t="str">
            <v>None</v>
          </cell>
          <cell r="K18" t="str">
            <v>None</v>
          </cell>
          <cell r="M18" t="str">
            <v>None</v>
          </cell>
          <cell r="O18" t="str">
            <v>None</v>
          </cell>
          <cell r="Q18" t="str">
            <v>None</v>
          </cell>
          <cell r="S18" t="str">
            <v>None</v>
          </cell>
          <cell r="U18" t="str">
            <v>None</v>
          </cell>
          <cell r="W18" t="str">
            <v>None</v>
          </cell>
          <cell r="Y18"/>
          <cell r="Z18">
            <v>0</v>
          </cell>
        </row>
        <row r="19">
          <cell r="E19" t="str">
            <v>None</v>
          </cell>
          <cell r="G19" t="str">
            <v>None</v>
          </cell>
          <cell r="I19" t="str">
            <v>None</v>
          </cell>
          <cell r="K19" t="str">
            <v>None</v>
          </cell>
          <cell r="M19" t="str">
            <v>None</v>
          </cell>
          <cell r="O19" t="str">
            <v>None</v>
          </cell>
          <cell r="Q19" t="str">
            <v>None</v>
          </cell>
          <cell r="S19" t="str">
            <v>Fill restrictions</v>
          </cell>
          <cell r="T19">
            <v>7</v>
          </cell>
          <cell r="U19" t="str">
            <v>None</v>
          </cell>
          <cell r="W19" t="str">
            <v>None</v>
          </cell>
          <cell r="Y19" t="str">
            <v xml:space="preserve">Fill restrictions (7)
</v>
          </cell>
          <cell r="Z19">
            <v>7</v>
          </cell>
        </row>
        <row r="20">
          <cell r="E20" t="str">
            <v>None</v>
          </cell>
          <cell r="G20" t="str">
            <v>None</v>
          </cell>
          <cell r="I20" t="str">
            <v>None</v>
          </cell>
          <cell r="K20" t="str">
            <v>None</v>
          </cell>
          <cell r="M20" t="str">
            <v>None</v>
          </cell>
          <cell r="O20" t="str">
            <v>None</v>
          </cell>
          <cell r="Q20" t="str">
            <v>None</v>
          </cell>
          <cell r="S20" t="str">
            <v>None</v>
          </cell>
          <cell r="U20" t="str">
            <v>None</v>
          </cell>
          <cell r="W20" t="str">
            <v>None</v>
          </cell>
          <cell r="Y20"/>
          <cell r="Z20">
            <v>0</v>
          </cell>
        </row>
        <row r="21">
          <cell r="E21" t="str">
            <v>None</v>
          </cell>
          <cell r="G21" t="str">
            <v>None</v>
          </cell>
          <cell r="I21" t="str">
            <v>None</v>
          </cell>
          <cell r="K21" t="str">
            <v>None</v>
          </cell>
          <cell r="M21" t="str">
            <v>None</v>
          </cell>
          <cell r="O21" t="str">
            <v>None</v>
          </cell>
          <cell r="Q21" t="str">
            <v>None</v>
          </cell>
          <cell r="S21" t="str">
            <v>None</v>
          </cell>
          <cell r="U21" t="str">
            <v>None</v>
          </cell>
          <cell r="W21" t="str">
            <v>None</v>
          </cell>
          <cell r="Y21"/>
          <cell r="Z21">
            <v>0</v>
          </cell>
        </row>
        <row r="22">
          <cell r="E22" t="str">
            <v>None</v>
          </cell>
          <cell r="G22" t="str">
            <v>None</v>
          </cell>
          <cell r="I22" t="str">
            <v>None</v>
          </cell>
          <cell r="K22" t="str">
            <v>None</v>
          </cell>
          <cell r="M22" t="str">
            <v>None</v>
          </cell>
          <cell r="O22" t="str">
            <v>None</v>
          </cell>
          <cell r="Q22" t="str">
            <v>None</v>
          </cell>
          <cell r="S22" t="str">
            <v>None</v>
          </cell>
          <cell r="U22" t="str">
            <v>None</v>
          </cell>
          <cell r="W22" t="str">
            <v>None</v>
          </cell>
          <cell r="Y22"/>
          <cell r="Z22">
            <v>0</v>
          </cell>
        </row>
        <row r="23">
          <cell r="E23" t="str">
            <v>Too short will result in non-fitment with upper pipe on operation downstream</v>
          </cell>
          <cell r="F23">
            <v>8</v>
          </cell>
          <cell r="G23" t="str">
            <v>None</v>
          </cell>
          <cell r="I23" t="str">
            <v>None</v>
          </cell>
          <cell r="K23" t="str">
            <v>None</v>
          </cell>
          <cell r="M23" t="str">
            <v>None</v>
          </cell>
          <cell r="O23" t="str">
            <v>None</v>
          </cell>
          <cell r="Q23" t="str">
            <v>None</v>
          </cell>
          <cell r="S23" t="str">
            <v>None</v>
          </cell>
          <cell r="U23" t="str">
            <v>None</v>
          </cell>
          <cell r="W23" t="str">
            <v>None</v>
          </cell>
          <cell r="Y23" t="str">
            <v xml:space="preserve">Too short will result in non-fitment with upper pipe on operation downstream (8)
</v>
          </cell>
          <cell r="Z23">
            <v>8</v>
          </cell>
        </row>
        <row r="24">
          <cell r="E24" t="str">
            <v>None</v>
          </cell>
          <cell r="G24" t="str">
            <v>None</v>
          </cell>
          <cell r="I24" t="str">
            <v>None</v>
          </cell>
          <cell r="K24" t="str">
            <v>None</v>
          </cell>
          <cell r="M24" t="str">
            <v>None</v>
          </cell>
          <cell r="O24" t="str">
            <v>None</v>
          </cell>
          <cell r="Q24" t="str">
            <v>None</v>
          </cell>
          <cell r="S24" t="str">
            <v>None</v>
          </cell>
          <cell r="U24" t="str">
            <v>None</v>
          </cell>
          <cell r="W24" t="str">
            <v>None</v>
          </cell>
          <cell r="Y24"/>
          <cell r="Z24">
            <v>0</v>
          </cell>
        </row>
        <row r="25">
          <cell r="E25" t="str">
            <v>None</v>
          </cell>
          <cell r="G25" t="str">
            <v>None</v>
          </cell>
          <cell r="I25" t="str">
            <v>None</v>
          </cell>
          <cell r="K25" t="str">
            <v>None</v>
          </cell>
          <cell r="M25" t="str">
            <v>None</v>
          </cell>
          <cell r="O25" t="str">
            <v>None</v>
          </cell>
          <cell r="Q25" t="str">
            <v>None</v>
          </cell>
          <cell r="S25" t="str">
            <v>None</v>
          </cell>
          <cell r="U25" t="str">
            <v>None</v>
          </cell>
          <cell r="W25" t="str">
            <v>None</v>
          </cell>
          <cell r="Y25"/>
          <cell r="Z25">
            <v>0</v>
          </cell>
        </row>
        <row r="26">
          <cell r="E26" t="str">
            <v>None</v>
          </cell>
          <cell r="G26" t="str">
            <v>None</v>
          </cell>
          <cell r="I26" t="str">
            <v>None</v>
          </cell>
          <cell r="K26" t="str">
            <v>None</v>
          </cell>
          <cell r="M26" t="str">
            <v>None</v>
          </cell>
          <cell r="O26" t="str">
            <v>None</v>
          </cell>
          <cell r="Q26" t="str">
            <v>None</v>
          </cell>
          <cell r="S26" t="str">
            <v>None</v>
          </cell>
          <cell r="U26" t="str">
            <v>None</v>
          </cell>
          <cell r="W26" t="str">
            <v>None</v>
          </cell>
          <cell r="Y26"/>
          <cell r="Z26">
            <v>0</v>
          </cell>
        </row>
        <row r="27">
          <cell r="E27" t="str">
            <v>Too long will result in poor fitment with upper pipe and weld on operation downstream</v>
          </cell>
          <cell r="F27">
            <v>8</v>
          </cell>
          <cell r="G27" t="str">
            <v>None</v>
          </cell>
          <cell r="I27" t="str">
            <v>None</v>
          </cell>
          <cell r="K27" t="str">
            <v>None</v>
          </cell>
          <cell r="M27" t="str">
            <v>None</v>
          </cell>
          <cell r="O27" t="str">
            <v>None</v>
          </cell>
          <cell r="Q27" t="str">
            <v>None</v>
          </cell>
          <cell r="S27" t="str">
            <v>None</v>
          </cell>
          <cell r="U27" t="str">
            <v>None</v>
          </cell>
          <cell r="W27" t="str">
            <v>None</v>
          </cell>
          <cell r="Y27" t="str">
            <v xml:space="preserve">Too long will result in poor fitment with upper pipe and weld on operation downstream (8)
</v>
          </cell>
          <cell r="Z27">
            <v>8</v>
          </cell>
        </row>
        <row r="28">
          <cell r="E28" t="str">
            <v>None</v>
          </cell>
          <cell r="G28" t="str">
            <v>None</v>
          </cell>
          <cell r="I28" t="str">
            <v>None</v>
          </cell>
          <cell r="K28" t="str">
            <v>None</v>
          </cell>
          <cell r="M28" t="str">
            <v>None</v>
          </cell>
          <cell r="O28" t="str">
            <v>None</v>
          </cell>
          <cell r="Q28" t="str">
            <v>None</v>
          </cell>
          <cell r="S28" t="str">
            <v>None</v>
          </cell>
          <cell r="U28" t="str">
            <v>None</v>
          </cell>
          <cell r="W28" t="str">
            <v>None</v>
          </cell>
          <cell r="Y28"/>
          <cell r="Z28">
            <v>0</v>
          </cell>
        </row>
        <row r="29">
          <cell r="E29" t="str">
            <v>None</v>
          </cell>
          <cell r="G29" t="str">
            <v>None</v>
          </cell>
          <cell r="I29" t="str">
            <v>None</v>
          </cell>
          <cell r="K29" t="str">
            <v>None</v>
          </cell>
          <cell r="M29" t="str">
            <v>None</v>
          </cell>
          <cell r="O29" t="str">
            <v>None</v>
          </cell>
          <cell r="Q29" t="str">
            <v>None</v>
          </cell>
          <cell r="S29" t="str">
            <v>None</v>
          </cell>
          <cell r="U29" t="str">
            <v>None</v>
          </cell>
          <cell r="W29" t="str">
            <v>None</v>
          </cell>
          <cell r="Y29"/>
          <cell r="Z29">
            <v>0</v>
          </cell>
        </row>
        <row r="30">
          <cell r="E30" t="str">
            <v>None</v>
          </cell>
          <cell r="G30" t="str">
            <v>None</v>
          </cell>
          <cell r="I30" t="str">
            <v>None</v>
          </cell>
          <cell r="K30" t="str">
            <v>None</v>
          </cell>
          <cell r="M30" t="str">
            <v>None</v>
          </cell>
          <cell r="O30" t="str">
            <v>None</v>
          </cell>
          <cell r="Q30" t="str">
            <v>None</v>
          </cell>
          <cell r="S30" t="str">
            <v>None</v>
          </cell>
          <cell r="U30" t="str">
            <v>None</v>
          </cell>
          <cell r="W30" t="str">
            <v>None</v>
          </cell>
          <cell r="Y30"/>
          <cell r="Z30">
            <v>0</v>
          </cell>
        </row>
        <row r="31">
          <cell r="D31">
            <v>9</v>
          </cell>
          <cell r="E31" t="str">
            <v>Non fitment with upper pipe</v>
          </cell>
          <cell r="F31">
            <v>5</v>
          </cell>
          <cell r="G31" t="str">
            <v>None</v>
          </cell>
          <cell r="I31" t="str">
            <v>None</v>
          </cell>
          <cell r="K31" t="str">
            <v>None</v>
          </cell>
          <cell r="M31" t="str">
            <v>None</v>
          </cell>
          <cell r="O31" t="str">
            <v>None</v>
          </cell>
          <cell r="Q31" t="str">
            <v>None</v>
          </cell>
          <cell r="S31" t="str">
            <v>None</v>
          </cell>
          <cell r="U31" t="str">
            <v>None</v>
          </cell>
          <cell r="W31" t="str">
            <v>None</v>
          </cell>
          <cell r="Y31" t="str">
            <v xml:space="preserve">H&amp;S concern  (9)
Non fitment with upper pipe (5)
</v>
          </cell>
          <cell r="Z31">
            <v>14</v>
          </cell>
        </row>
        <row r="32">
          <cell r="E32" t="str">
            <v>None</v>
          </cell>
          <cell r="G32" t="str">
            <v>None</v>
          </cell>
          <cell r="I32" t="str">
            <v>None</v>
          </cell>
          <cell r="K32" t="str">
            <v>None</v>
          </cell>
          <cell r="M32" t="str">
            <v>None</v>
          </cell>
          <cell r="O32" t="str">
            <v>None</v>
          </cell>
          <cell r="Q32" t="str">
            <v>None</v>
          </cell>
          <cell r="S32" t="str">
            <v>None</v>
          </cell>
          <cell r="U32" t="str">
            <v>None</v>
          </cell>
          <cell r="W32" t="str">
            <v>None</v>
          </cell>
          <cell r="Y32"/>
          <cell r="Z32">
            <v>0</v>
          </cell>
        </row>
        <row r="33">
          <cell r="E33" t="str">
            <v>None</v>
          </cell>
          <cell r="G33" t="str">
            <v>None</v>
          </cell>
          <cell r="I33" t="str">
            <v>None</v>
          </cell>
          <cell r="K33" t="str">
            <v>None</v>
          </cell>
          <cell r="M33" t="str">
            <v>None</v>
          </cell>
          <cell r="O33" t="str">
            <v>None</v>
          </cell>
          <cell r="Q33" t="str">
            <v>None</v>
          </cell>
          <cell r="S33" t="str">
            <v>None</v>
          </cell>
          <cell r="U33" t="str">
            <v>None</v>
          </cell>
          <cell r="W33" t="str">
            <v>None</v>
          </cell>
          <cell r="Y33"/>
          <cell r="Z33">
            <v>0</v>
          </cell>
        </row>
        <row r="34">
          <cell r="E34" t="str">
            <v>None</v>
          </cell>
          <cell r="G34" t="str">
            <v>None</v>
          </cell>
          <cell r="I34" t="str">
            <v>None</v>
          </cell>
          <cell r="K34" t="str">
            <v>None</v>
          </cell>
          <cell r="M34" t="str">
            <v>None</v>
          </cell>
          <cell r="O34" t="str">
            <v>None</v>
          </cell>
          <cell r="Q34" t="str">
            <v>None</v>
          </cell>
          <cell r="S34" t="str">
            <v>None</v>
          </cell>
          <cell r="U34" t="str">
            <v>None</v>
          </cell>
          <cell r="W34" t="str">
            <v>None</v>
          </cell>
          <cell r="Y34"/>
          <cell r="Z34">
            <v>0</v>
          </cell>
        </row>
        <row r="35">
          <cell r="D35">
            <v>9</v>
          </cell>
          <cell r="E35" t="str">
            <v>Non fitment with upper pipe</v>
          </cell>
          <cell r="F35">
            <v>5</v>
          </cell>
          <cell r="G35" t="str">
            <v>None</v>
          </cell>
          <cell r="I35" t="str">
            <v>None</v>
          </cell>
          <cell r="K35" t="str">
            <v>None</v>
          </cell>
          <cell r="M35" t="str">
            <v>None</v>
          </cell>
          <cell r="O35" t="str">
            <v>None</v>
          </cell>
          <cell r="Q35" t="str">
            <v>None</v>
          </cell>
          <cell r="S35" t="str">
            <v>None</v>
          </cell>
          <cell r="U35" t="str">
            <v>None</v>
          </cell>
          <cell r="W35" t="str">
            <v>None</v>
          </cell>
          <cell r="Y35" t="str">
            <v xml:space="preserve">H&amp;S concern  (9)
Non fitment with upper pipe (5)
</v>
          </cell>
          <cell r="Z35">
            <v>14</v>
          </cell>
        </row>
        <row r="36">
          <cell r="E36" t="str">
            <v>None</v>
          </cell>
          <cell r="G36" t="str">
            <v>None</v>
          </cell>
          <cell r="I36" t="str">
            <v>None</v>
          </cell>
          <cell r="K36" t="str">
            <v>None</v>
          </cell>
          <cell r="M36" t="str">
            <v>None</v>
          </cell>
          <cell r="O36" t="str">
            <v>None</v>
          </cell>
          <cell r="Q36" t="str">
            <v>None</v>
          </cell>
          <cell r="S36" t="str">
            <v>None</v>
          </cell>
          <cell r="U36" t="str">
            <v>None</v>
          </cell>
          <cell r="W36" t="str">
            <v>None</v>
          </cell>
          <cell r="Y36"/>
          <cell r="Z36">
            <v>0</v>
          </cell>
        </row>
        <row r="37">
          <cell r="E37" t="str">
            <v>None</v>
          </cell>
          <cell r="G37" t="str">
            <v>None</v>
          </cell>
          <cell r="I37" t="str">
            <v>None</v>
          </cell>
          <cell r="K37" t="str">
            <v>None</v>
          </cell>
          <cell r="M37" t="str">
            <v>None</v>
          </cell>
          <cell r="O37" t="str">
            <v>None</v>
          </cell>
          <cell r="Q37" t="str">
            <v>None</v>
          </cell>
          <cell r="S37" t="str">
            <v>None</v>
          </cell>
          <cell r="U37" t="str">
            <v>None</v>
          </cell>
          <cell r="W37" t="str">
            <v>None</v>
          </cell>
          <cell r="Y37"/>
          <cell r="Z37">
            <v>0</v>
          </cell>
        </row>
        <row r="38">
          <cell r="E38" t="str">
            <v>None</v>
          </cell>
          <cell r="G38" t="str">
            <v>None</v>
          </cell>
          <cell r="I38" t="str">
            <v>None</v>
          </cell>
          <cell r="K38" t="str">
            <v>None</v>
          </cell>
          <cell r="M38" t="str">
            <v>None</v>
          </cell>
          <cell r="O38" t="str">
            <v>None</v>
          </cell>
          <cell r="Q38" t="str">
            <v>None</v>
          </cell>
          <cell r="S38" t="str">
            <v>None</v>
          </cell>
          <cell r="U38" t="str">
            <v>None</v>
          </cell>
          <cell r="W38" t="str">
            <v>None</v>
          </cell>
          <cell r="Y38"/>
          <cell r="Z38">
            <v>0</v>
          </cell>
        </row>
        <row r="39">
          <cell r="E39" t="str">
            <v>Non-fitment with upper pipe</v>
          </cell>
          <cell r="F39">
            <v>5</v>
          </cell>
          <cell r="G39" t="str">
            <v>None</v>
          </cell>
          <cell r="I39" t="str">
            <v>None</v>
          </cell>
          <cell r="K39" t="str">
            <v>None</v>
          </cell>
          <cell r="M39" t="str">
            <v>None</v>
          </cell>
          <cell r="O39" t="str">
            <v>None</v>
          </cell>
          <cell r="Q39" t="str">
            <v>None</v>
          </cell>
          <cell r="S39" t="str">
            <v>None</v>
          </cell>
          <cell r="U39" t="str">
            <v>None</v>
          </cell>
          <cell r="W39" t="str">
            <v>None</v>
          </cell>
          <cell r="Y39" t="str">
            <v xml:space="preserve">Non-fitment with upper pipe (5)
</v>
          </cell>
          <cell r="Z39">
            <v>5</v>
          </cell>
        </row>
        <row r="40">
          <cell r="E40" t="str">
            <v>None</v>
          </cell>
          <cell r="G40" t="str">
            <v>None</v>
          </cell>
          <cell r="I40" t="str">
            <v>None</v>
          </cell>
          <cell r="K40" t="str">
            <v>None</v>
          </cell>
          <cell r="M40" t="str">
            <v>None</v>
          </cell>
          <cell r="O40" t="str">
            <v>None</v>
          </cell>
          <cell r="Q40" t="str">
            <v>None</v>
          </cell>
          <cell r="S40" t="str">
            <v>None</v>
          </cell>
          <cell r="U40" t="str">
            <v>None</v>
          </cell>
          <cell r="W40" t="str">
            <v>None</v>
          </cell>
          <cell r="Y40"/>
          <cell r="Z40">
            <v>0</v>
          </cell>
        </row>
        <row r="41">
          <cell r="E41" t="str">
            <v>None</v>
          </cell>
          <cell r="G41" t="str">
            <v>None</v>
          </cell>
          <cell r="I41" t="str">
            <v>None</v>
          </cell>
          <cell r="K41" t="str">
            <v>None</v>
          </cell>
          <cell r="M41" t="str">
            <v>None</v>
          </cell>
          <cell r="O41" t="str">
            <v>None</v>
          </cell>
          <cell r="Q41" t="str">
            <v>None</v>
          </cell>
          <cell r="S41" t="str">
            <v>None</v>
          </cell>
          <cell r="U41" t="str">
            <v>None</v>
          </cell>
          <cell r="W41" t="str">
            <v>None</v>
          </cell>
          <cell r="Y41"/>
          <cell r="Z41">
            <v>0</v>
          </cell>
        </row>
        <row r="42">
          <cell r="E42" t="str">
            <v>None</v>
          </cell>
          <cell r="G42" t="str">
            <v>None</v>
          </cell>
          <cell r="I42" t="str">
            <v>None</v>
          </cell>
          <cell r="K42" t="str">
            <v>None</v>
          </cell>
          <cell r="M42" t="str">
            <v>None</v>
          </cell>
          <cell r="O42" t="str">
            <v>None</v>
          </cell>
          <cell r="Q42" t="str">
            <v>None</v>
          </cell>
          <cell r="S42" t="str">
            <v>None</v>
          </cell>
          <cell r="U42" t="str">
            <v>None</v>
          </cell>
          <cell r="W42" t="str">
            <v>None</v>
          </cell>
          <cell r="Y42"/>
          <cell r="Z42">
            <v>0</v>
          </cell>
        </row>
        <row r="43">
          <cell r="E43" t="str">
            <v>Non fitment with upper pipe</v>
          </cell>
          <cell r="F43">
            <v>5</v>
          </cell>
          <cell r="G43" t="str">
            <v>None</v>
          </cell>
          <cell r="I43" t="str">
            <v>None</v>
          </cell>
          <cell r="K43" t="str">
            <v>None</v>
          </cell>
          <cell r="M43" t="str">
            <v>None</v>
          </cell>
          <cell r="O43" t="str">
            <v>None</v>
          </cell>
          <cell r="Q43" t="str">
            <v>None</v>
          </cell>
          <cell r="S43" t="str">
            <v>None</v>
          </cell>
          <cell r="U43" t="str">
            <v>None</v>
          </cell>
          <cell r="W43" t="str">
            <v>None</v>
          </cell>
          <cell r="Y43" t="str">
            <v xml:space="preserve">Non fitment with upper pipe (5)
</v>
          </cell>
          <cell r="Z43">
            <v>5</v>
          </cell>
        </row>
        <row r="44">
          <cell r="E44" t="str">
            <v>None</v>
          </cell>
          <cell r="G44" t="str">
            <v>None</v>
          </cell>
          <cell r="I44" t="str">
            <v>None</v>
          </cell>
          <cell r="K44" t="str">
            <v>None</v>
          </cell>
          <cell r="M44" t="str">
            <v>None</v>
          </cell>
          <cell r="O44" t="str">
            <v>None</v>
          </cell>
          <cell r="Q44" t="str">
            <v>None</v>
          </cell>
          <cell r="S44" t="str">
            <v>None</v>
          </cell>
          <cell r="U44" t="str">
            <v>None</v>
          </cell>
          <cell r="W44" t="str">
            <v>None</v>
          </cell>
          <cell r="Y44"/>
          <cell r="Z44">
            <v>0</v>
          </cell>
        </row>
        <row r="45">
          <cell r="E45" t="str">
            <v>None</v>
          </cell>
          <cell r="G45" t="str">
            <v>None</v>
          </cell>
          <cell r="I45" t="str">
            <v>None</v>
          </cell>
          <cell r="K45" t="str">
            <v>None</v>
          </cell>
          <cell r="M45" t="str">
            <v>None</v>
          </cell>
          <cell r="O45" t="str">
            <v>None</v>
          </cell>
          <cell r="Q45" t="str">
            <v>None</v>
          </cell>
          <cell r="S45" t="str">
            <v>None</v>
          </cell>
          <cell r="U45" t="str">
            <v>None</v>
          </cell>
          <cell r="W45" t="str">
            <v>None</v>
          </cell>
          <cell r="Y45"/>
          <cell r="Z45">
            <v>0</v>
          </cell>
        </row>
        <row r="46">
          <cell r="E46" t="str">
            <v>None</v>
          </cell>
          <cell r="G46" t="str">
            <v>None</v>
          </cell>
          <cell r="I46" t="str">
            <v>None</v>
          </cell>
          <cell r="K46" t="str">
            <v>None</v>
          </cell>
          <cell r="M46" t="str">
            <v>None</v>
          </cell>
          <cell r="O46" t="str">
            <v>None</v>
          </cell>
          <cell r="Q46" t="str">
            <v>None</v>
          </cell>
          <cell r="S46" t="str">
            <v>None</v>
          </cell>
          <cell r="U46" t="str">
            <v>None</v>
          </cell>
          <cell r="W46" t="str">
            <v>None</v>
          </cell>
          <cell r="Y46"/>
          <cell r="Z46">
            <v>0</v>
          </cell>
        </row>
        <row r="47">
          <cell r="E47" t="str">
            <v>Loose fitment with upper pipe - Poor weld condition &amp; leak</v>
          </cell>
          <cell r="F47">
            <v>8</v>
          </cell>
          <cell r="G47" t="str">
            <v>None</v>
          </cell>
          <cell r="I47" t="str">
            <v>None</v>
          </cell>
          <cell r="K47" t="str">
            <v>None</v>
          </cell>
          <cell r="M47" t="str">
            <v>None</v>
          </cell>
          <cell r="O47" t="str">
            <v>None</v>
          </cell>
          <cell r="Q47" t="str">
            <v>None</v>
          </cell>
          <cell r="S47" t="str">
            <v>None</v>
          </cell>
          <cell r="U47" t="str">
            <v>None</v>
          </cell>
          <cell r="W47" t="str">
            <v>None</v>
          </cell>
          <cell r="Y47" t="str">
            <v xml:space="preserve">Loose fitment with upper pipe - Poor weld condition &amp; leak (8)
</v>
          </cell>
          <cell r="Z47">
            <v>8</v>
          </cell>
        </row>
        <row r="48">
          <cell r="E48" t="str">
            <v>None</v>
          </cell>
          <cell r="G48" t="str">
            <v>None</v>
          </cell>
          <cell r="I48" t="str">
            <v>None</v>
          </cell>
          <cell r="K48" t="str">
            <v>None</v>
          </cell>
          <cell r="M48" t="str">
            <v>None</v>
          </cell>
          <cell r="O48" t="str">
            <v>None</v>
          </cell>
          <cell r="Q48" t="str">
            <v>None</v>
          </cell>
          <cell r="S48" t="str">
            <v>None</v>
          </cell>
          <cell r="U48" t="str">
            <v>None</v>
          </cell>
          <cell r="W48" t="str">
            <v>None</v>
          </cell>
          <cell r="Y48"/>
          <cell r="Z48">
            <v>0</v>
          </cell>
        </row>
        <row r="49">
          <cell r="E49" t="str">
            <v>None</v>
          </cell>
          <cell r="G49" t="str">
            <v>None</v>
          </cell>
          <cell r="I49" t="str">
            <v>None</v>
          </cell>
          <cell r="K49" t="str">
            <v>None</v>
          </cell>
          <cell r="M49" t="str">
            <v>None</v>
          </cell>
          <cell r="O49" t="str">
            <v>None</v>
          </cell>
          <cell r="Q49" t="str">
            <v>None</v>
          </cell>
          <cell r="S49" t="str">
            <v>None</v>
          </cell>
          <cell r="U49" t="str">
            <v>None</v>
          </cell>
          <cell r="W49" t="str">
            <v>None</v>
          </cell>
          <cell r="Y49"/>
          <cell r="Z49">
            <v>0</v>
          </cell>
        </row>
        <row r="50">
          <cell r="E50" t="str">
            <v>None</v>
          </cell>
          <cell r="G50" t="str">
            <v>None</v>
          </cell>
          <cell r="I50" t="str">
            <v>None</v>
          </cell>
          <cell r="K50" t="str">
            <v>None</v>
          </cell>
          <cell r="M50" t="str">
            <v>None</v>
          </cell>
          <cell r="O50" t="str">
            <v>None</v>
          </cell>
          <cell r="Q50" t="str">
            <v>None</v>
          </cell>
          <cell r="S50" t="str">
            <v>None</v>
          </cell>
          <cell r="U50" t="str">
            <v>None</v>
          </cell>
          <cell r="W50" t="str">
            <v>None</v>
          </cell>
          <cell r="Y50"/>
          <cell r="Z50">
            <v>0</v>
          </cell>
        </row>
        <row r="51">
          <cell r="E51" t="str">
            <v>Non fitment of anti-siphon valve</v>
          </cell>
          <cell r="F51">
            <v>5</v>
          </cell>
          <cell r="G51" t="str">
            <v>None</v>
          </cell>
          <cell r="I51" t="str">
            <v>None</v>
          </cell>
          <cell r="K51" t="str">
            <v>None</v>
          </cell>
          <cell r="M51" t="str">
            <v>None</v>
          </cell>
          <cell r="O51" t="str">
            <v>None</v>
          </cell>
          <cell r="Q51" t="str">
            <v>None</v>
          </cell>
          <cell r="U51" t="str">
            <v>None</v>
          </cell>
          <cell r="W51" t="str">
            <v>None</v>
          </cell>
          <cell r="Y51" t="str">
            <v xml:space="preserve">Non fitment of anti-siphon valve (5)
</v>
          </cell>
          <cell r="Z51">
            <v>5</v>
          </cell>
        </row>
        <row r="52">
          <cell r="E52" t="str">
            <v>None</v>
          </cell>
          <cell r="G52" t="str">
            <v>None</v>
          </cell>
          <cell r="I52" t="str">
            <v>None</v>
          </cell>
          <cell r="K52" t="str">
            <v>None</v>
          </cell>
          <cell r="M52" t="str">
            <v>None</v>
          </cell>
          <cell r="O52" t="str">
            <v>None</v>
          </cell>
          <cell r="Q52" t="str">
            <v>None</v>
          </cell>
          <cell r="S52" t="str">
            <v>None</v>
          </cell>
          <cell r="U52" t="str">
            <v>None</v>
          </cell>
          <cell r="W52" t="str">
            <v>None</v>
          </cell>
          <cell r="Y52"/>
          <cell r="Z52">
            <v>0</v>
          </cell>
        </row>
        <row r="53">
          <cell r="E53" t="str">
            <v>None</v>
          </cell>
          <cell r="G53" t="str">
            <v>None</v>
          </cell>
          <cell r="I53" t="str">
            <v>None</v>
          </cell>
          <cell r="K53" t="str">
            <v>None</v>
          </cell>
          <cell r="M53" t="str">
            <v>None</v>
          </cell>
          <cell r="O53" t="str">
            <v>None</v>
          </cell>
          <cell r="Q53" t="str">
            <v>None</v>
          </cell>
          <cell r="S53" t="str">
            <v>None</v>
          </cell>
          <cell r="U53" t="str">
            <v>None</v>
          </cell>
          <cell r="W53" t="str">
            <v>None</v>
          </cell>
          <cell r="Y53"/>
          <cell r="Z53">
            <v>0</v>
          </cell>
        </row>
        <row r="54">
          <cell r="E54" t="str">
            <v>None</v>
          </cell>
          <cell r="G54" t="str">
            <v>None</v>
          </cell>
          <cell r="I54" t="str">
            <v>None</v>
          </cell>
          <cell r="K54" t="str">
            <v>None</v>
          </cell>
          <cell r="M54" t="str">
            <v>None</v>
          </cell>
          <cell r="O54" t="str">
            <v>None</v>
          </cell>
          <cell r="Q54" t="str">
            <v>None</v>
          </cell>
          <cell r="S54" t="str">
            <v>None</v>
          </cell>
          <cell r="U54" t="str">
            <v>None</v>
          </cell>
          <cell r="W54" t="str">
            <v>None</v>
          </cell>
          <cell r="Y54"/>
          <cell r="Z54">
            <v>0</v>
          </cell>
        </row>
        <row r="55">
          <cell r="E55" t="str">
            <v>Non fitment of anti-siphon valve</v>
          </cell>
          <cell r="F55">
            <v>5</v>
          </cell>
          <cell r="G55" t="str">
            <v>None</v>
          </cell>
          <cell r="I55" t="str">
            <v>None</v>
          </cell>
          <cell r="K55" t="str">
            <v>None</v>
          </cell>
          <cell r="M55" t="str">
            <v>None</v>
          </cell>
          <cell r="O55" t="str">
            <v>None</v>
          </cell>
          <cell r="Q55" t="str">
            <v>None</v>
          </cell>
          <cell r="S55" t="str">
            <v>Possible leak - poor seal on fitment of hose</v>
          </cell>
          <cell r="T55">
            <v>9</v>
          </cell>
          <cell r="U55" t="str">
            <v>None</v>
          </cell>
          <cell r="W55" t="str">
            <v>None</v>
          </cell>
          <cell r="Y55" t="str">
            <v xml:space="preserve">Non fitment of anti-siphon valve (5)
Possible leak - poor seal on fitment of hose (9)
</v>
          </cell>
          <cell r="Z55">
            <v>14</v>
          </cell>
        </row>
        <row r="56">
          <cell r="E56" t="str">
            <v>None</v>
          </cell>
          <cell r="G56" t="str">
            <v>None</v>
          </cell>
          <cell r="I56" t="str">
            <v>None</v>
          </cell>
          <cell r="K56" t="str">
            <v>None</v>
          </cell>
          <cell r="M56" t="str">
            <v>None</v>
          </cell>
          <cell r="O56" t="str">
            <v>None</v>
          </cell>
          <cell r="Q56" t="str">
            <v>None</v>
          </cell>
          <cell r="S56" t="str">
            <v>None</v>
          </cell>
          <cell r="U56" t="str">
            <v>None</v>
          </cell>
          <cell r="W56" t="str">
            <v>None</v>
          </cell>
          <cell r="Y56"/>
          <cell r="Z56">
            <v>0</v>
          </cell>
        </row>
        <row r="57">
          <cell r="E57" t="str">
            <v>None</v>
          </cell>
          <cell r="G57" t="str">
            <v>None</v>
          </cell>
          <cell r="I57" t="str">
            <v>None</v>
          </cell>
          <cell r="K57" t="str">
            <v>None</v>
          </cell>
          <cell r="M57" t="str">
            <v>None</v>
          </cell>
          <cell r="O57" t="str">
            <v>None</v>
          </cell>
          <cell r="Q57" t="str">
            <v>None</v>
          </cell>
          <cell r="S57" t="str">
            <v>None</v>
          </cell>
          <cell r="U57" t="str">
            <v>None</v>
          </cell>
          <cell r="W57" t="str">
            <v>None</v>
          </cell>
          <cell r="Y57"/>
          <cell r="Z57">
            <v>0</v>
          </cell>
        </row>
        <row r="58">
          <cell r="E58" t="str">
            <v>None</v>
          </cell>
          <cell r="G58" t="str">
            <v>None</v>
          </cell>
          <cell r="I58" t="str">
            <v>None</v>
          </cell>
          <cell r="K58" t="str">
            <v>None</v>
          </cell>
          <cell r="M58" t="str">
            <v>None</v>
          </cell>
          <cell r="O58" t="str">
            <v>None</v>
          </cell>
          <cell r="Q58" t="str">
            <v>None</v>
          </cell>
          <cell r="S58" t="str">
            <v>None</v>
          </cell>
          <cell r="U58" t="str">
            <v>None</v>
          </cell>
          <cell r="W58" t="str">
            <v>None</v>
          </cell>
          <cell r="Y58"/>
          <cell r="Z58">
            <v>0</v>
          </cell>
        </row>
        <row r="59">
          <cell r="E59" t="str">
            <v>Non fitment of anti-siphon valve</v>
          </cell>
          <cell r="F59">
            <v>8</v>
          </cell>
          <cell r="G59" t="str">
            <v>None</v>
          </cell>
          <cell r="I59" t="str">
            <v>None</v>
          </cell>
          <cell r="K59" t="str">
            <v>None</v>
          </cell>
          <cell r="M59" t="str">
            <v>None</v>
          </cell>
          <cell r="O59" t="str">
            <v>None</v>
          </cell>
          <cell r="Q59" t="str">
            <v>None</v>
          </cell>
          <cell r="S59" t="str">
            <v>None</v>
          </cell>
          <cell r="U59" t="str">
            <v>None</v>
          </cell>
          <cell r="W59" t="str">
            <v>None</v>
          </cell>
          <cell r="Y59" t="str">
            <v xml:space="preserve">Non fitment of anti-siphon valve (8)
</v>
          </cell>
          <cell r="Z59">
            <v>8</v>
          </cell>
        </row>
        <row r="60">
          <cell r="E60" t="str">
            <v>Non fitment of hose</v>
          </cell>
          <cell r="F60">
            <v>8</v>
          </cell>
          <cell r="G60" t="str">
            <v>None</v>
          </cell>
          <cell r="I60" t="str">
            <v>None</v>
          </cell>
          <cell r="K60" t="str">
            <v>None</v>
          </cell>
          <cell r="M60" t="str">
            <v>None</v>
          </cell>
          <cell r="O60" t="str">
            <v>None</v>
          </cell>
          <cell r="Q60" t="str">
            <v>None</v>
          </cell>
          <cell r="S60" t="str">
            <v>None</v>
          </cell>
          <cell r="U60" t="str">
            <v>None</v>
          </cell>
          <cell r="W60" t="str">
            <v>None</v>
          </cell>
          <cell r="Y60" t="str">
            <v xml:space="preserve">Non fitment of hose (8)
</v>
          </cell>
          <cell r="Z60">
            <v>8</v>
          </cell>
        </row>
        <row r="61">
          <cell r="E61" t="str">
            <v>None</v>
          </cell>
          <cell r="G61" t="str">
            <v>None</v>
          </cell>
          <cell r="I61" t="str">
            <v>None</v>
          </cell>
          <cell r="K61" t="str">
            <v>None</v>
          </cell>
          <cell r="M61" t="str">
            <v>None</v>
          </cell>
          <cell r="O61" t="str">
            <v>None</v>
          </cell>
          <cell r="Q61" t="str">
            <v>None</v>
          </cell>
          <cell r="S61" t="str">
            <v>None</v>
          </cell>
          <cell r="U61" t="str">
            <v>None</v>
          </cell>
          <cell r="W61" t="str">
            <v>None</v>
          </cell>
          <cell r="Y61"/>
          <cell r="Z61">
            <v>0</v>
          </cell>
        </row>
        <row r="62">
          <cell r="E62" t="str">
            <v>None</v>
          </cell>
          <cell r="G62" t="str">
            <v>None</v>
          </cell>
          <cell r="I62" t="str">
            <v>None</v>
          </cell>
          <cell r="K62" t="str">
            <v>None</v>
          </cell>
          <cell r="M62" t="str">
            <v>None</v>
          </cell>
          <cell r="O62" t="str">
            <v>None</v>
          </cell>
          <cell r="Q62" t="str">
            <v>None</v>
          </cell>
          <cell r="S62" t="str">
            <v>None</v>
          </cell>
          <cell r="U62" t="str">
            <v>None</v>
          </cell>
          <cell r="W62" t="str">
            <v>None</v>
          </cell>
          <cell r="Y62"/>
          <cell r="Z62">
            <v>0</v>
          </cell>
        </row>
        <row r="63">
          <cell r="E63" t="str">
            <v>None</v>
          </cell>
          <cell r="G63" t="str">
            <v>None</v>
          </cell>
          <cell r="I63" t="str">
            <v>None</v>
          </cell>
          <cell r="K63" t="str">
            <v>None</v>
          </cell>
          <cell r="M63" t="str">
            <v>None</v>
          </cell>
          <cell r="O63" t="str">
            <v>None</v>
          </cell>
          <cell r="Q63" t="str">
            <v>None</v>
          </cell>
          <cell r="S63" t="str">
            <v>Possible leak - poor seal on fitment of hose</v>
          </cell>
          <cell r="T63">
            <v>9</v>
          </cell>
          <cell r="U63" t="str">
            <v>None</v>
          </cell>
          <cell r="W63" t="str">
            <v>None</v>
          </cell>
          <cell r="Y63" t="str">
            <v xml:space="preserve">Possible leak - poor seal on fitment of hose (9)
</v>
          </cell>
          <cell r="Z63">
            <v>9</v>
          </cell>
        </row>
        <row r="64">
          <cell r="E64" t="str">
            <v>None</v>
          </cell>
          <cell r="G64" t="str">
            <v>None</v>
          </cell>
          <cell r="I64" t="str">
            <v>None</v>
          </cell>
          <cell r="K64" t="str">
            <v>None</v>
          </cell>
          <cell r="M64" t="str">
            <v>None</v>
          </cell>
          <cell r="O64" t="str">
            <v>None</v>
          </cell>
          <cell r="Q64" t="str">
            <v>None</v>
          </cell>
          <cell r="S64" t="str">
            <v>None</v>
          </cell>
          <cell r="U64" t="str">
            <v>None</v>
          </cell>
          <cell r="W64" t="str">
            <v>None</v>
          </cell>
          <cell r="Y64"/>
          <cell r="Z64">
            <v>0</v>
          </cell>
        </row>
        <row r="65">
          <cell r="E65" t="str">
            <v>None</v>
          </cell>
          <cell r="G65" t="str">
            <v>None</v>
          </cell>
          <cell r="I65" t="str">
            <v>None</v>
          </cell>
          <cell r="K65" t="str">
            <v>None</v>
          </cell>
          <cell r="M65" t="str">
            <v>None</v>
          </cell>
          <cell r="O65" t="str">
            <v>None</v>
          </cell>
          <cell r="Q65" t="str">
            <v>None</v>
          </cell>
          <cell r="S65" t="str">
            <v>None</v>
          </cell>
          <cell r="U65" t="str">
            <v>None</v>
          </cell>
          <cell r="W65" t="str">
            <v>None</v>
          </cell>
          <cell r="Y65"/>
          <cell r="Z65">
            <v>0</v>
          </cell>
        </row>
        <row r="66">
          <cell r="E66" t="str">
            <v>None</v>
          </cell>
          <cell r="G66" t="str">
            <v>None</v>
          </cell>
          <cell r="I66" t="str">
            <v>None</v>
          </cell>
          <cell r="K66" t="str">
            <v>None</v>
          </cell>
          <cell r="M66" t="str">
            <v>None</v>
          </cell>
          <cell r="O66" t="str">
            <v>None</v>
          </cell>
          <cell r="Q66" t="str">
            <v>None</v>
          </cell>
          <cell r="S66" t="str">
            <v>None</v>
          </cell>
          <cell r="U66" t="str">
            <v>None</v>
          </cell>
          <cell r="W66" t="str">
            <v>None</v>
          </cell>
          <cell r="Y66"/>
          <cell r="Z66">
            <v>0</v>
          </cell>
        </row>
      </sheetData>
      <sheetData sheetId="4">
        <row r="13">
          <cell r="J13" t="str">
            <v>None</v>
          </cell>
          <cell r="K13" t="str">
            <v>None</v>
          </cell>
        </row>
        <row r="15">
          <cell r="B15" t="str">
            <v xml:space="preserve">Pipe formed to bend gauge </v>
          </cell>
          <cell r="C15">
            <v>10</v>
          </cell>
          <cell r="G15" t="str">
            <v>OTH</v>
          </cell>
          <cell r="J15" t="str">
            <v xml:space="preserve">SOP. Skills matrix. </v>
          </cell>
          <cell r="K15" t="str">
            <v>1st off &amp; 4 off checks in bend inspection gauge per shift</v>
          </cell>
        </row>
        <row r="16">
          <cell r="G16" t="str">
            <v>OTH</v>
          </cell>
          <cell r="J16" t="str">
            <v xml:space="preserve">SOP. Skills matrix. </v>
          </cell>
          <cell r="K16" t="str">
            <v>1st off &amp; 4 off checks in bend inspection gauge per shift</v>
          </cell>
        </row>
        <row r="17">
          <cell r="G17" t="str">
            <v>CC</v>
          </cell>
          <cell r="J17" t="str">
            <v xml:space="preserve">SOP. Skills matrix. </v>
          </cell>
          <cell r="K17" t="str">
            <v>Visual check.  100% leak test on future operation</v>
          </cell>
        </row>
        <row r="18">
          <cell r="G18" t="str">
            <v>CC</v>
          </cell>
          <cell r="J18" t="str">
            <v xml:space="preserve">SOP. Skills matrix. </v>
          </cell>
          <cell r="K18" t="str">
            <v>Visual check.  100% leak test on future operation</v>
          </cell>
        </row>
        <row r="19">
          <cell r="G19" t="str">
            <v>OTH</v>
          </cell>
          <cell r="J19" t="str">
            <v xml:space="preserve">SOP. Skills matrix. </v>
          </cell>
          <cell r="K19" t="str">
            <v>Double visual inspection</v>
          </cell>
        </row>
        <row r="20">
          <cell r="G20" t="str">
            <v>OTH</v>
          </cell>
          <cell r="J20" t="str">
            <v xml:space="preserve">SOP. Skills matrix. </v>
          </cell>
          <cell r="K20" t="str">
            <v>Double visual inspection</v>
          </cell>
        </row>
        <row r="21">
          <cell r="B21" t="str">
            <v>Pipe cut to required length</v>
          </cell>
          <cell r="C21">
            <v>20</v>
          </cell>
          <cell r="G21" t="str">
            <v>OTH</v>
          </cell>
          <cell r="J21" t="str">
            <v xml:space="preserve">SOP. Skills matrix. </v>
          </cell>
          <cell r="K21" t="str">
            <v>1st off &amp; 4 off checks in bend inspection gauge per shift</v>
          </cell>
        </row>
        <row r="22">
          <cell r="G22" t="str">
            <v>OTH</v>
          </cell>
          <cell r="J22" t="str">
            <v xml:space="preserve">SOP. Skills matrix. </v>
          </cell>
          <cell r="K22" t="str">
            <v>1st off &amp; 4 off checks in bend inspection gauge per shift</v>
          </cell>
        </row>
        <row r="23">
          <cell r="G23" t="str">
            <v>OTH</v>
          </cell>
          <cell r="J23" t="str">
            <v xml:space="preserve">SOP. Skills matrix. </v>
          </cell>
          <cell r="K23" t="str">
            <v>1st off &amp; 4 off checks in bend inspection gauge per shift</v>
          </cell>
        </row>
        <row r="24">
          <cell r="G24" t="str">
            <v>OTH</v>
          </cell>
          <cell r="J24" t="str">
            <v xml:space="preserve">SOP. Skills matrix. </v>
          </cell>
          <cell r="K24" t="str">
            <v>1st off &amp; 4 off checks in bend inspection gauge per shift</v>
          </cell>
        </row>
        <row r="25">
          <cell r="B25" t="str">
            <v>Pipe de-burred to remove burrs &amp; sharp edges</v>
          </cell>
          <cell r="C25">
            <v>30</v>
          </cell>
          <cell r="G25" t="str">
            <v>CC</v>
          </cell>
          <cell r="J25" t="str">
            <v xml:space="preserve">SOP. Skills matrix. </v>
          </cell>
          <cell r="K25" t="str">
            <v xml:space="preserve">Double visual inspection 100%. </v>
          </cell>
        </row>
        <row r="26">
          <cell r="G26" t="str">
            <v>CC</v>
          </cell>
          <cell r="J26" t="str">
            <v xml:space="preserve">SOP. Skills matrix. </v>
          </cell>
          <cell r="K26" t="str">
            <v xml:space="preserve">Double visual inspection 100%. </v>
          </cell>
        </row>
        <row r="27">
          <cell r="B27" t="str">
            <v>Pipe endformed for roundness to ensure fitment of upper pipe</v>
          </cell>
          <cell r="C27">
            <v>40</v>
          </cell>
          <cell r="G27" t="str">
            <v>OTH</v>
          </cell>
          <cell r="J27" t="str">
            <v xml:space="preserve">SOP. Skills matrix. </v>
          </cell>
          <cell r="K27" t="str">
            <v>Cannot assemble with upper pipe for welding</v>
          </cell>
        </row>
        <row r="28">
          <cell r="G28" t="str">
            <v>OTH</v>
          </cell>
          <cell r="J28" t="str">
            <v xml:space="preserve">SOP. Skills matrix. </v>
          </cell>
          <cell r="K28" t="str">
            <v>Cannot assemble with upper pipe for welding</v>
          </cell>
        </row>
        <row r="29">
          <cell r="G29" t="str">
            <v>OTH</v>
          </cell>
          <cell r="J29" t="str">
            <v xml:space="preserve">SOP. Skills matrix. </v>
          </cell>
          <cell r="K29" t="str">
            <v>100% leak test on future operation</v>
          </cell>
        </row>
        <row r="30">
          <cell r="B30" t="str">
            <v>Lower pipe sized for outlet form to specification on hose assy and anti-siphon valve</v>
          </cell>
          <cell r="C30">
            <v>50</v>
          </cell>
          <cell r="G30" t="str">
            <v>OTH</v>
          </cell>
          <cell r="J30" t="str">
            <v xml:space="preserve">SOP. Skills matrix. </v>
          </cell>
          <cell r="K30" t="str">
            <v>Cannot EOL leak test system</v>
          </cell>
        </row>
        <row r="31">
          <cell r="G31" t="str">
            <v>CC</v>
          </cell>
          <cell r="J31" t="str">
            <v xml:space="preserve">SOP. Skills matrix. </v>
          </cell>
          <cell r="K31" t="str">
            <v>Cannot EOL leak test system</v>
          </cell>
        </row>
        <row r="32">
          <cell r="G32" t="str">
            <v>CC</v>
          </cell>
          <cell r="J32" t="str">
            <v>SOP. Skills matrix.</v>
          </cell>
          <cell r="K32" t="str">
            <v>Cannot EOL leak test system</v>
          </cell>
        </row>
        <row r="33">
          <cell r="G33" t="str">
            <v>OTH</v>
          </cell>
          <cell r="J33" t="str">
            <v xml:space="preserve">SOP. Skills matrix. </v>
          </cell>
          <cell r="K33" t="str">
            <v>1st off &amp; 4 off per shift with Go-No go gauge on bend gauge</v>
          </cell>
        </row>
        <row r="34">
          <cell r="G34" t="str">
            <v>OTH</v>
          </cell>
          <cell r="J34" t="str">
            <v xml:space="preserve">SOP. Skills matrix. </v>
          </cell>
          <cell r="K34" t="str">
            <v>1st off &amp; 4 off per shift with Go-No go gauge on bend gauge</v>
          </cell>
        </row>
        <row r="35">
          <cell r="G35" t="str">
            <v>CC</v>
          </cell>
          <cell r="J35" t="str">
            <v xml:space="preserve">SOP. Skills matrix. </v>
          </cell>
          <cell r="K35" t="str">
            <v xml:space="preserve">Double visual inspection 100%. </v>
          </cell>
        </row>
        <row r="36">
          <cell r="B36" t="str">
            <v>Pipe meets cleanliness spec : Particle size not to exceed 400 Microns /0.6MG when measured in accordance with LRLTM.30.DD.103</v>
          </cell>
          <cell r="C36">
            <v>60</v>
          </cell>
          <cell r="G36" t="str">
            <v>SC</v>
          </cell>
          <cell r="J36" t="str">
            <v xml:space="preserve">SOP. Skills matrix. </v>
          </cell>
          <cell r="K36" t="str">
            <v xml:space="preserve">Double visual inspection 100%. </v>
          </cell>
        </row>
        <row r="37">
          <cell r="G37" t="str">
            <v>OTH</v>
          </cell>
          <cell r="J37" t="str">
            <v>SOP. Skills matrix.</v>
          </cell>
          <cell r="K37" t="str">
            <v xml:space="preserve">Double visual inspection 100%. </v>
          </cell>
        </row>
        <row r="38">
          <cell r="G38" t="str">
            <v>OTH</v>
          </cell>
          <cell r="J38" t="str">
            <v xml:space="preserve">SOP. Skills matrix. </v>
          </cell>
          <cell r="K38" t="str">
            <v xml:space="preserve">Double visual inspection 100%. </v>
          </cell>
        </row>
      </sheetData>
      <sheetData sheetId="5"/>
      <sheetData sheetId="6" refreshError="1"/>
      <sheetData sheetId="7">
        <row r="5">
          <cell r="L5" t="str">
            <v>Worn broken tooling</v>
          </cell>
        </row>
      </sheetData>
      <sheetData sheetId="8">
        <row r="5">
          <cell r="C5" t="str">
            <v>Incorrect settings</v>
          </cell>
          <cell r="L5" t="str">
            <v>Worn / broken tooling</v>
          </cell>
        </row>
      </sheetData>
      <sheetData sheetId="9">
        <row r="5">
          <cell r="C5" t="str">
            <v>Incorrect setting</v>
          </cell>
          <cell r="L5" t="str">
            <v>Worn / broken tooling</v>
          </cell>
        </row>
      </sheetData>
      <sheetData sheetId="10">
        <row r="5">
          <cell r="L5" t="str">
            <v>Incorrect set-up</v>
          </cell>
        </row>
      </sheetData>
      <sheetData sheetId="11">
        <row r="5">
          <cell r="C5" t="str">
            <v>Saw fixture tooling worn / broken</v>
          </cell>
          <cell r="L5" t="str">
            <v>Incorrect set-up</v>
          </cell>
        </row>
      </sheetData>
      <sheetData sheetId="12">
        <row r="5">
          <cell r="C5" t="str">
            <v>Missed operation</v>
          </cell>
        </row>
      </sheetData>
      <sheetData sheetId="13">
        <row r="5">
          <cell r="C5" t="str">
            <v>Worn tooling</v>
          </cell>
        </row>
      </sheetData>
      <sheetData sheetId="14">
        <row r="5">
          <cell r="C5" t="str">
            <v>Missed operation</v>
          </cell>
        </row>
      </sheetData>
      <sheetData sheetId="15">
        <row r="5">
          <cell r="C5" t="str">
            <v>Incorrect settings</v>
          </cell>
        </row>
      </sheetData>
      <sheetData sheetId="16">
        <row r="5">
          <cell r="C5" t="str">
            <v>Incorrect setting</v>
          </cell>
        </row>
      </sheetData>
      <sheetData sheetId="17">
        <row r="5">
          <cell r="C5" t="str">
            <v>Missed operation</v>
          </cell>
        </row>
      </sheetData>
      <sheetData sheetId="18">
        <row r="5">
          <cell r="C5" t="str">
            <v>Incorrect settings</v>
          </cell>
          <cell r="L5" t="str">
            <v>Worn / broken tooling</v>
          </cell>
        </row>
      </sheetData>
      <sheetData sheetId="19">
        <row r="5">
          <cell r="C5" t="str">
            <v>Incorrect setting</v>
          </cell>
          <cell r="L5" t="str">
            <v>Worn / broken tooling</v>
          </cell>
        </row>
      </sheetData>
      <sheetData sheetId="20">
        <row r="5">
          <cell r="C5" t="str">
            <v>Worn / broken tooling</v>
          </cell>
        </row>
      </sheetData>
      <sheetData sheetId="21">
        <row r="5">
          <cell r="C5" t="str">
            <v>Missed operation</v>
          </cell>
        </row>
      </sheetData>
      <sheetData sheetId="22">
        <row r="5">
          <cell r="C5" t="str">
            <v>Contaminated water</v>
          </cell>
          <cell r="L5" t="str">
            <v>Check detergent mixture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Relationship Id="rId9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62"/>
  <sheetViews>
    <sheetView workbookViewId="0">
      <selection activeCell="D43" sqref="D43"/>
    </sheetView>
  </sheetViews>
  <sheetFormatPr defaultRowHeight="12.75" x14ac:dyDescent="0.2"/>
  <cols>
    <col min="1" max="1" width="2" style="23" customWidth="1"/>
    <col min="2" max="2" width="20.28515625" style="23" customWidth="1"/>
    <col min="3" max="3" width="8.5703125" style="23" customWidth="1"/>
    <col min="4" max="4" width="9.5703125" style="23" customWidth="1"/>
    <col min="5" max="5" width="1.42578125" style="23" customWidth="1"/>
    <col min="6" max="6" width="12.140625" style="23" customWidth="1"/>
    <col min="7" max="7" width="1.28515625" style="23" customWidth="1"/>
    <col min="8" max="8" width="12.5703125" style="23" customWidth="1"/>
    <col min="9" max="9" width="1.7109375" style="23" customWidth="1"/>
    <col min="10" max="10" width="15.140625" style="23" customWidth="1"/>
    <col min="11" max="11" width="11" style="23" customWidth="1"/>
    <col min="12" max="12" width="1" style="23" customWidth="1"/>
    <col min="13" max="13" width="18.140625" style="23" customWidth="1"/>
    <col min="14" max="14" width="12.28515625" style="23" customWidth="1"/>
    <col min="15" max="15" width="6.140625" style="23" customWidth="1"/>
    <col min="16" max="16" width="5.28515625" style="23" customWidth="1"/>
    <col min="17" max="17" width="2.140625" style="23" customWidth="1"/>
    <col min="18" max="256" width="9.140625" style="23"/>
    <col min="257" max="257" width="2" style="23" customWidth="1"/>
    <col min="258" max="258" width="20.28515625" style="23" customWidth="1"/>
    <col min="259" max="259" width="8.5703125" style="23" customWidth="1"/>
    <col min="260" max="260" width="9.5703125" style="23" customWidth="1"/>
    <col min="261" max="261" width="1.42578125" style="23" customWidth="1"/>
    <col min="262" max="262" width="12.140625" style="23" customWidth="1"/>
    <col min="263" max="263" width="1.28515625" style="23" customWidth="1"/>
    <col min="264" max="264" width="12.5703125" style="23" customWidth="1"/>
    <col min="265" max="265" width="1.7109375" style="23" customWidth="1"/>
    <col min="266" max="266" width="15.140625" style="23" customWidth="1"/>
    <col min="267" max="267" width="11" style="23" customWidth="1"/>
    <col min="268" max="268" width="1" style="23" customWidth="1"/>
    <col min="269" max="269" width="18.140625" style="23" customWidth="1"/>
    <col min="270" max="270" width="12.28515625" style="23" customWidth="1"/>
    <col min="271" max="271" width="6.140625" style="23" customWidth="1"/>
    <col min="272" max="272" width="5.28515625" style="23" customWidth="1"/>
    <col min="273" max="273" width="2.140625" style="23" customWidth="1"/>
    <col min="274" max="512" width="9.140625" style="23"/>
    <col min="513" max="513" width="2" style="23" customWidth="1"/>
    <col min="514" max="514" width="20.28515625" style="23" customWidth="1"/>
    <col min="515" max="515" width="8.5703125" style="23" customWidth="1"/>
    <col min="516" max="516" width="9.5703125" style="23" customWidth="1"/>
    <col min="517" max="517" width="1.42578125" style="23" customWidth="1"/>
    <col min="518" max="518" width="12.140625" style="23" customWidth="1"/>
    <col min="519" max="519" width="1.28515625" style="23" customWidth="1"/>
    <col min="520" max="520" width="12.5703125" style="23" customWidth="1"/>
    <col min="521" max="521" width="1.7109375" style="23" customWidth="1"/>
    <col min="522" max="522" width="15.140625" style="23" customWidth="1"/>
    <col min="523" max="523" width="11" style="23" customWidth="1"/>
    <col min="524" max="524" width="1" style="23" customWidth="1"/>
    <col min="525" max="525" width="18.140625" style="23" customWidth="1"/>
    <col min="526" max="526" width="12.28515625" style="23" customWidth="1"/>
    <col min="527" max="527" width="6.140625" style="23" customWidth="1"/>
    <col min="528" max="528" width="5.28515625" style="23" customWidth="1"/>
    <col min="529" max="529" width="2.140625" style="23" customWidth="1"/>
    <col min="530" max="768" width="9.140625" style="23"/>
    <col min="769" max="769" width="2" style="23" customWidth="1"/>
    <col min="770" max="770" width="20.28515625" style="23" customWidth="1"/>
    <col min="771" max="771" width="8.5703125" style="23" customWidth="1"/>
    <col min="772" max="772" width="9.5703125" style="23" customWidth="1"/>
    <col min="773" max="773" width="1.42578125" style="23" customWidth="1"/>
    <col min="774" max="774" width="12.140625" style="23" customWidth="1"/>
    <col min="775" max="775" width="1.28515625" style="23" customWidth="1"/>
    <col min="776" max="776" width="12.5703125" style="23" customWidth="1"/>
    <col min="777" max="777" width="1.7109375" style="23" customWidth="1"/>
    <col min="778" max="778" width="15.140625" style="23" customWidth="1"/>
    <col min="779" max="779" width="11" style="23" customWidth="1"/>
    <col min="780" max="780" width="1" style="23" customWidth="1"/>
    <col min="781" max="781" width="18.140625" style="23" customWidth="1"/>
    <col min="782" max="782" width="12.28515625" style="23" customWidth="1"/>
    <col min="783" max="783" width="6.140625" style="23" customWidth="1"/>
    <col min="784" max="784" width="5.28515625" style="23" customWidth="1"/>
    <col min="785" max="785" width="2.140625" style="23" customWidth="1"/>
    <col min="786" max="1024" width="9.140625" style="23"/>
    <col min="1025" max="1025" width="2" style="23" customWidth="1"/>
    <col min="1026" max="1026" width="20.28515625" style="23" customWidth="1"/>
    <col min="1027" max="1027" width="8.5703125" style="23" customWidth="1"/>
    <col min="1028" max="1028" width="9.5703125" style="23" customWidth="1"/>
    <col min="1029" max="1029" width="1.42578125" style="23" customWidth="1"/>
    <col min="1030" max="1030" width="12.140625" style="23" customWidth="1"/>
    <col min="1031" max="1031" width="1.28515625" style="23" customWidth="1"/>
    <col min="1032" max="1032" width="12.5703125" style="23" customWidth="1"/>
    <col min="1033" max="1033" width="1.7109375" style="23" customWidth="1"/>
    <col min="1034" max="1034" width="15.140625" style="23" customWidth="1"/>
    <col min="1035" max="1035" width="11" style="23" customWidth="1"/>
    <col min="1036" max="1036" width="1" style="23" customWidth="1"/>
    <col min="1037" max="1037" width="18.140625" style="23" customWidth="1"/>
    <col min="1038" max="1038" width="12.28515625" style="23" customWidth="1"/>
    <col min="1039" max="1039" width="6.140625" style="23" customWidth="1"/>
    <col min="1040" max="1040" width="5.28515625" style="23" customWidth="1"/>
    <col min="1041" max="1041" width="2.140625" style="23" customWidth="1"/>
    <col min="1042" max="1280" width="9.140625" style="23"/>
    <col min="1281" max="1281" width="2" style="23" customWidth="1"/>
    <col min="1282" max="1282" width="20.28515625" style="23" customWidth="1"/>
    <col min="1283" max="1283" width="8.5703125" style="23" customWidth="1"/>
    <col min="1284" max="1284" width="9.5703125" style="23" customWidth="1"/>
    <col min="1285" max="1285" width="1.42578125" style="23" customWidth="1"/>
    <col min="1286" max="1286" width="12.140625" style="23" customWidth="1"/>
    <col min="1287" max="1287" width="1.28515625" style="23" customWidth="1"/>
    <col min="1288" max="1288" width="12.5703125" style="23" customWidth="1"/>
    <col min="1289" max="1289" width="1.7109375" style="23" customWidth="1"/>
    <col min="1290" max="1290" width="15.140625" style="23" customWidth="1"/>
    <col min="1291" max="1291" width="11" style="23" customWidth="1"/>
    <col min="1292" max="1292" width="1" style="23" customWidth="1"/>
    <col min="1293" max="1293" width="18.140625" style="23" customWidth="1"/>
    <col min="1294" max="1294" width="12.28515625" style="23" customWidth="1"/>
    <col min="1295" max="1295" width="6.140625" style="23" customWidth="1"/>
    <col min="1296" max="1296" width="5.28515625" style="23" customWidth="1"/>
    <col min="1297" max="1297" width="2.140625" style="23" customWidth="1"/>
    <col min="1298" max="1536" width="9.140625" style="23"/>
    <col min="1537" max="1537" width="2" style="23" customWidth="1"/>
    <col min="1538" max="1538" width="20.28515625" style="23" customWidth="1"/>
    <col min="1539" max="1539" width="8.5703125" style="23" customWidth="1"/>
    <col min="1540" max="1540" width="9.5703125" style="23" customWidth="1"/>
    <col min="1541" max="1541" width="1.42578125" style="23" customWidth="1"/>
    <col min="1542" max="1542" width="12.140625" style="23" customWidth="1"/>
    <col min="1543" max="1543" width="1.28515625" style="23" customWidth="1"/>
    <col min="1544" max="1544" width="12.5703125" style="23" customWidth="1"/>
    <col min="1545" max="1545" width="1.7109375" style="23" customWidth="1"/>
    <col min="1546" max="1546" width="15.140625" style="23" customWidth="1"/>
    <col min="1547" max="1547" width="11" style="23" customWidth="1"/>
    <col min="1548" max="1548" width="1" style="23" customWidth="1"/>
    <col min="1549" max="1549" width="18.140625" style="23" customWidth="1"/>
    <col min="1550" max="1550" width="12.28515625" style="23" customWidth="1"/>
    <col min="1551" max="1551" width="6.140625" style="23" customWidth="1"/>
    <col min="1552" max="1552" width="5.28515625" style="23" customWidth="1"/>
    <col min="1553" max="1553" width="2.140625" style="23" customWidth="1"/>
    <col min="1554" max="1792" width="9.140625" style="23"/>
    <col min="1793" max="1793" width="2" style="23" customWidth="1"/>
    <col min="1794" max="1794" width="20.28515625" style="23" customWidth="1"/>
    <col min="1795" max="1795" width="8.5703125" style="23" customWidth="1"/>
    <col min="1796" max="1796" width="9.5703125" style="23" customWidth="1"/>
    <col min="1797" max="1797" width="1.42578125" style="23" customWidth="1"/>
    <col min="1798" max="1798" width="12.140625" style="23" customWidth="1"/>
    <col min="1799" max="1799" width="1.28515625" style="23" customWidth="1"/>
    <col min="1800" max="1800" width="12.5703125" style="23" customWidth="1"/>
    <col min="1801" max="1801" width="1.7109375" style="23" customWidth="1"/>
    <col min="1802" max="1802" width="15.140625" style="23" customWidth="1"/>
    <col min="1803" max="1803" width="11" style="23" customWidth="1"/>
    <col min="1804" max="1804" width="1" style="23" customWidth="1"/>
    <col min="1805" max="1805" width="18.140625" style="23" customWidth="1"/>
    <col min="1806" max="1806" width="12.28515625" style="23" customWidth="1"/>
    <col min="1807" max="1807" width="6.140625" style="23" customWidth="1"/>
    <col min="1808" max="1808" width="5.28515625" style="23" customWidth="1"/>
    <col min="1809" max="1809" width="2.140625" style="23" customWidth="1"/>
    <col min="1810" max="2048" width="9.140625" style="23"/>
    <col min="2049" max="2049" width="2" style="23" customWidth="1"/>
    <col min="2050" max="2050" width="20.28515625" style="23" customWidth="1"/>
    <col min="2051" max="2051" width="8.5703125" style="23" customWidth="1"/>
    <col min="2052" max="2052" width="9.5703125" style="23" customWidth="1"/>
    <col min="2053" max="2053" width="1.42578125" style="23" customWidth="1"/>
    <col min="2054" max="2054" width="12.140625" style="23" customWidth="1"/>
    <col min="2055" max="2055" width="1.28515625" style="23" customWidth="1"/>
    <col min="2056" max="2056" width="12.5703125" style="23" customWidth="1"/>
    <col min="2057" max="2057" width="1.7109375" style="23" customWidth="1"/>
    <col min="2058" max="2058" width="15.140625" style="23" customWidth="1"/>
    <col min="2059" max="2059" width="11" style="23" customWidth="1"/>
    <col min="2060" max="2060" width="1" style="23" customWidth="1"/>
    <col min="2061" max="2061" width="18.140625" style="23" customWidth="1"/>
    <col min="2062" max="2062" width="12.28515625" style="23" customWidth="1"/>
    <col min="2063" max="2063" width="6.140625" style="23" customWidth="1"/>
    <col min="2064" max="2064" width="5.28515625" style="23" customWidth="1"/>
    <col min="2065" max="2065" width="2.140625" style="23" customWidth="1"/>
    <col min="2066" max="2304" width="9.140625" style="23"/>
    <col min="2305" max="2305" width="2" style="23" customWidth="1"/>
    <col min="2306" max="2306" width="20.28515625" style="23" customWidth="1"/>
    <col min="2307" max="2307" width="8.5703125" style="23" customWidth="1"/>
    <col min="2308" max="2308" width="9.5703125" style="23" customWidth="1"/>
    <col min="2309" max="2309" width="1.42578125" style="23" customWidth="1"/>
    <col min="2310" max="2310" width="12.140625" style="23" customWidth="1"/>
    <col min="2311" max="2311" width="1.28515625" style="23" customWidth="1"/>
    <col min="2312" max="2312" width="12.5703125" style="23" customWidth="1"/>
    <col min="2313" max="2313" width="1.7109375" style="23" customWidth="1"/>
    <col min="2314" max="2314" width="15.140625" style="23" customWidth="1"/>
    <col min="2315" max="2315" width="11" style="23" customWidth="1"/>
    <col min="2316" max="2316" width="1" style="23" customWidth="1"/>
    <col min="2317" max="2317" width="18.140625" style="23" customWidth="1"/>
    <col min="2318" max="2318" width="12.28515625" style="23" customWidth="1"/>
    <col min="2319" max="2319" width="6.140625" style="23" customWidth="1"/>
    <col min="2320" max="2320" width="5.28515625" style="23" customWidth="1"/>
    <col min="2321" max="2321" width="2.140625" style="23" customWidth="1"/>
    <col min="2322" max="2560" width="9.140625" style="23"/>
    <col min="2561" max="2561" width="2" style="23" customWidth="1"/>
    <col min="2562" max="2562" width="20.28515625" style="23" customWidth="1"/>
    <col min="2563" max="2563" width="8.5703125" style="23" customWidth="1"/>
    <col min="2564" max="2564" width="9.5703125" style="23" customWidth="1"/>
    <col min="2565" max="2565" width="1.42578125" style="23" customWidth="1"/>
    <col min="2566" max="2566" width="12.140625" style="23" customWidth="1"/>
    <col min="2567" max="2567" width="1.28515625" style="23" customWidth="1"/>
    <col min="2568" max="2568" width="12.5703125" style="23" customWidth="1"/>
    <col min="2569" max="2569" width="1.7109375" style="23" customWidth="1"/>
    <col min="2570" max="2570" width="15.140625" style="23" customWidth="1"/>
    <col min="2571" max="2571" width="11" style="23" customWidth="1"/>
    <col min="2572" max="2572" width="1" style="23" customWidth="1"/>
    <col min="2573" max="2573" width="18.140625" style="23" customWidth="1"/>
    <col min="2574" max="2574" width="12.28515625" style="23" customWidth="1"/>
    <col min="2575" max="2575" width="6.140625" style="23" customWidth="1"/>
    <col min="2576" max="2576" width="5.28515625" style="23" customWidth="1"/>
    <col min="2577" max="2577" width="2.140625" style="23" customWidth="1"/>
    <col min="2578" max="2816" width="9.140625" style="23"/>
    <col min="2817" max="2817" width="2" style="23" customWidth="1"/>
    <col min="2818" max="2818" width="20.28515625" style="23" customWidth="1"/>
    <col min="2819" max="2819" width="8.5703125" style="23" customWidth="1"/>
    <col min="2820" max="2820" width="9.5703125" style="23" customWidth="1"/>
    <col min="2821" max="2821" width="1.42578125" style="23" customWidth="1"/>
    <col min="2822" max="2822" width="12.140625" style="23" customWidth="1"/>
    <col min="2823" max="2823" width="1.28515625" style="23" customWidth="1"/>
    <col min="2824" max="2824" width="12.5703125" style="23" customWidth="1"/>
    <col min="2825" max="2825" width="1.7109375" style="23" customWidth="1"/>
    <col min="2826" max="2826" width="15.140625" style="23" customWidth="1"/>
    <col min="2827" max="2827" width="11" style="23" customWidth="1"/>
    <col min="2828" max="2828" width="1" style="23" customWidth="1"/>
    <col min="2829" max="2829" width="18.140625" style="23" customWidth="1"/>
    <col min="2830" max="2830" width="12.28515625" style="23" customWidth="1"/>
    <col min="2831" max="2831" width="6.140625" style="23" customWidth="1"/>
    <col min="2832" max="2832" width="5.28515625" style="23" customWidth="1"/>
    <col min="2833" max="2833" width="2.140625" style="23" customWidth="1"/>
    <col min="2834" max="3072" width="9.140625" style="23"/>
    <col min="3073" max="3073" width="2" style="23" customWidth="1"/>
    <col min="3074" max="3074" width="20.28515625" style="23" customWidth="1"/>
    <col min="3075" max="3075" width="8.5703125" style="23" customWidth="1"/>
    <col min="3076" max="3076" width="9.5703125" style="23" customWidth="1"/>
    <col min="3077" max="3077" width="1.42578125" style="23" customWidth="1"/>
    <col min="3078" max="3078" width="12.140625" style="23" customWidth="1"/>
    <col min="3079" max="3079" width="1.28515625" style="23" customWidth="1"/>
    <col min="3080" max="3080" width="12.5703125" style="23" customWidth="1"/>
    <col min="3081" max="3081" width="1.7109375" style="23" customWidth="1"/>
    <col min="3082" max="3082" width="15.140625" style="23" customWidth="1"/>
    <col min="3083" max="3083" width="11" style="23" customWidth="1"/>
    <col min="3084" max="3084" width="1" style="23" customWidth="1"/>
    <col min="3085" max="3085" width="18.140625" style="23" customWidth="1"/>
    <col min="3086" max="3086" width="12.28515625" style="23" customWidth="1"/>
    <col min="3087" max="3087" width="6.140625" style="23" customWidth="1"/>
    <col min="3088" max="3088" width="5.28515625" style="23" customWidth="1"/>
    <col min="3089" max="3089" width="2.140625" style="23" customWidth="1"/>
    <col min="3090" max="3328" width="9.140625" style="23"/>
    <col min="3329" max="3329" width="2" style="23" customWidth="1"/>
    <col min="3330" max="3330" width="20.28515625" style="23" customWidth="1"/>
    <col min="3331" max="3331" width="8.5703125" style="23" customWidth="1"/>
    <col min="3332" max="3332" width="9.5703125" style="23" customWidth="1"/>
    <col min="3333" max="3333" width="1.42578125" style="23" customWidth="1"/>
    <col min="3334" max="3334" width="12.140625" style="23" customWidth="1"/>
    <col min="3335" max="3335" width="1.28515625" style="23" customWidth="1"/>
    <col min="3336" max="3336" width="12.5703125" style="23" customWidth="1"/>
    <col min="3337" max="3337" width="1.7109375" style="23" customWidth="1"/>
    <col min="3338" max="3338" width="15.140625" style="23" customWidth="1"/>
    <col min="3339" max="3339" width="11" style="23" customWidth="1"/>
    <col min="3340" max="3340" width="1" style="23" customWidth="1"/>
    <col min="3341" max="3341" width="18.140625" style="23" customWidth="1"/>
    <col min="3342" max="3342" width="12.28515625" style="23" customWidth="1"/>
    <col min="3343" max="3343" width="6.140625" style="23" customWidth="1"/>
    <col min="3344" max="3344" width="5.28515625" style="23" customWidth="1"/>
    <col min="3345" max="3345" width="2.140625" style="23" customWidth="1"/>
    <col min="3346" max="3584" width="9.140625" style="23"/>
    <col min="3585" max="3585" width="2" style="23" customWidth="1"/>
    <col min="3586" max="3586" width="20.28515625" style="23" customWidth="1"/>
    <col min="3587" max="3587" width="8.5703125" style="23" customWidth="1"/>
    <col min="3588" max="3588" width="9.5703125" style="23" customWidth="1"/>
    <col min="3589" max="3589" width="1.42578125" style="23" customWidth="1"/>
    <col min="3590" max="3590" width="12.140625" style="23" customWidth="1"/>
    <col min="3591" max="3591" width="1.28515625" style="23" customWidth="1"/>
    <col min="3592" max="3592" width="12.5703125" style="23" customWidth="1"/>
    <col min="3593" max="3593" width="1.7109375" style="23" customWidth="1"/>
    <col min="3594" max="3594" width="15.140625" style="23" customWidth="1"/>
    <col min="3595" max="3595" width="11" style="23" customWidth="1"/>
    <col min="3596" max="3596" width="1" style="23" customWidth="1"/>
    <col min="3597" max="3597" width="18.140625" style="23" customWidth="1"/>
    <col min="3598" max="3598" width="12.28515625" style="23" customWidth="1"/>
    <col min="3599" max="3599" width="6.140625" style="23" customWidth="1"/>
    <col min="3600" max="3600" width="5.28515625" style="23" customWidth="1"/>
    <col min="3601" max="3601" width="2.140625" style="23" customWidth="1"/>
    <col min="3602" max="3840" width="9.140625" style="23"/>
    <col min="3841" max="3841" width="2" style="23" customWidth="1"/>
    <col min="3842" max="3842" width="20.28515625" style="23" customWidth="1"/>
    <col min="3843" max="3843" width="8.5703125" style="23" customWidth="1"/>
    <col min="3844" max="3844" width="9.5703125" style="23" customWidth="1"/>
    <col min="3845" max="3845" width="1.42578125" style="23" customWidth="1"/>
    <col min="3846" max="3846" width="12.140625" style="23" customWidth="1"/>
    <col min="3847" max="3847" width="1.28515625" style="23" customWidth="1"/>
    <col min="3848" max="3848" width="12.5703125" style="23" customWidth="1"/>
    <col min="3849" max="3849" width="1.7109375" style="23" customWidth="1"/>
    <col min="3850" max="3850" width="15.140625" style="23" customWidth="1"/>
    <col min="3851" max="3851" width="11" style="23" customWidth="1"/>
    <col min="3852" max="3852" width="1" style="23" customWidth="1"/>
    <col min="3853" max="3853" width="18.140625" style="23" customWidth="1"/>
    <col min="3854" max="3854" width="12.28515625" style="23" customWidth="1"/>
    <col min="3855" max="3855" width="6.140625" style="23" customWidth="1"/>
    <col min="3856" max="3856" width="5.28515625" style="23" customWidth="1"/>
    <col min="3857" max="3857" width="2.140625" style="23" customWidth="1"/>
    <col min="3858" max="4096" width="9.140625" style="23"/>
    <col min="4097" max="4097" width="2" style="23" customWidth="1"/>
    <col min="4098" max="4098" width="20.28515625" style="23" customWidth="1"/>
    <col min="4099" max="4099" width="8.5703125" style="23" customWidth="1"/>
    <col min="4100" max="4100" width="9.5703125" style="23" customWidth="1"/>
    <col min="4101" max="4101" width="1.42578125" style="23" customWidth="1"/>
    <col min="4102" max="4102" width="12.140625" style="23" customWidth="1"/>
    <col min="4103" max="4103" width="1.28515625" style="23" customWidth="1"/>
    <col min="4104" max="4104" width="12.5703125" style="23" customWidth="1"/>
    <col min="4105" max="4105" width="1.7109375" style="23" customWidth="1"/>
    <col min="4106" max="4106" width="15.140625" style="23" customWidth="1"/>
    <col min="4107" max="4107" width="11" style="23" customWidth="1"/>
    <col min="4108" max="4108" width="1" style="23" customWidth="1"/>
    <col min="4109" max="4109" width="18.140625" style="23" customWidth="1"/>
    <col min="4110" max="4110" width="12.28515625" style="23" customWidth="1"/>
    <col min="4111" max="4111" width="6.140625" style="23" customWidth="1"/>
    <col min="4112" max="4112" width="5.28515625" style="23" customWidth="1"/>
    <col min="4113" max="4113" width="2.140625" style="23" customWidth="1"/>
    <col min="4114" max="4352" width="9.140625" style="23"/>
    <col min="4353" max="4353" width="2" style="23" customWidth="1"/>
    <col min="4354" max="4354" width="20.28515625" style="23" customWidth="1"/>
    <col min="4355" max="4355" width="8.5703125" style="23" customWidth="1"/>
    <col min="4356" max="4356" width="9.5703125" style="23" customWidth="1"/>
    <col min="4357" max="4357" width="1.42578125" style="23" customWidth="1"/>
    <col min="4358" max="4358" width="12.140625" style="23" customWidth="1"/>
    <col min="4359" max="4359" width="1.28515625" style="23" customWidth="1"/>
    <col min="4360" max="4360" width="12.5703125" style="23" customWidth="1"/>
    <col min="4361" max="4361" width="1.7109375" style="23" customWidth="1"/>
    <col min="4362" max="4362" width="15.140625" style="23" customWidth="1"/>
    <col min="4363" max="4363" width="11" style="23" customWidth="1"/>
    <col min="4364" max="4364" width="1" style="23" customWidth="1"/>
    <col min="4365" max="4365" width="18.140625" style="23" customWidth="1"/>
    <col min="4366" max="4366" width="12.28515625" style="23" customWidth="1"/>
    <col min="4367" max="4367" width="6.140625" style="23" customWidth="1"/>
    <col min="4368" max="4368" width="5.28515625" style="23" customWidth="1"/>
    <col min="4369" max="4369" width="2.140625" style="23" customWidth="1"/>
    <col min="4370" max="4608" width="9.140625" style="23"/>
    <col min="4609" max="4609" width="2" style="23" customWidth="1"/>
    <col min="4610" max="4610" width="20.28515625" style="23" customWidth="1"/>
    <col min="4611" max="4611" width="8.5703125" style="23" customWidth="1"/>
    <col min="4612" max="4612" width="9.5703125" style="23" customWidth="1"/>
    <col min="4613" max="4613" width="1.42578125" style="23" customWidth="1"/>
    <col min="4614" max="4614" width="12.140625" style="23" customWidth="1"/>
    <col min="4615" max="4615" width="1.28515625" style="23" customWidth="1"/>
    <col min="4616" max="4616" width="12.5703125" style="23" customWidth="1"/>
    <col min="4617" max="4617" width="1.7109375" style="23" customWidth="1"/>
    <col min="4618" max="4618" width="15.140625" style="23" customWidth="1"/>
    <col min="4619" max="4619" width="11" style="23" customWidth="1"/>
    <col min="4620" max="4620" width="1" style="23" customWidth="1"/>
    <col min="4621" max="4621" width="18.140625" style="23" customWidth="1"/>
    <col min="4622" max="4622" width="12.28515625" style="23" customWidth="1"/>
    <col min="4623" max="4623" width="6.140625" style="23" customWidth="1"/>
    <col min="4624" max="4624" width="5.28515625" style="23" customWidth="1"/>
    <col min="4625" max="4625" width="2.140625" style="23" customWidth="1"/>
    <col min="4626" max="4864" width="9.140625" style="23"/>
    <col min="4865" max="4865" width="2" style="23" customWidth="1"/>
    <col min="4866" max="4866" width="20.28515625" style="23" customWidth="1"/>
    <col min="4867" max="4867" width="8.5703125" style="23" customWidth="1"/>
    <col min="4868" max="4868" width="9.5703125" style="23" customWidth="1"/>
    <col min="4869" max="4869" width="1.42578125" style="23" customWidth="1"/>
    <col min="4870" max="4870" width="12.140625" style="23" customWidth="1"/>
    <col min="4871" max="4871" width="1.28515625" style="23" customWidth="1"/>
    <col min="4872" max="4872" width="12.5703125" style="23" customWidth="1"/>
    <col min="4873" max="4873" width="1.7109375" style="23" customWidth="1"/>
    <col min="4874" max="4874" width="15.140625" style="23" customWidth="1"/>
    <col min="4875" max="4875" width="11" style="23" customWidth="1"/>
    <col min="4876" max="4876" width="1" style="23" customWidth="1"/>
    <col min="4877" max="4877" width="18.140625" style="23" customWidth="1"/>
    <col min="4878" max="4878" width="12.28515625" style="23" customWidth="1"/>
    <col min="4879" max="4879" width="6.140625" style="23" customWidth="1"/>
    <col min="4880" max="4880" width="5.28515625" style="23" customWidth="1"/>
    <col min="4881" max="4881" width="2.140625" style="23" customWidth="1"/>
    <col min="4882" max="5120" width="9.140625" style="23"/>
    <col min="5121" max="5121" width="2" style="23" customWidth="1"/>
    <col min="5122" max="5122" width="20.28515625" style="23" customWidth="1"/>
    <col min="5123" max="5123" width="8.5703125" style="23" customWidth="1"/>
    <col min="5124" max="5124" width="9.5703125" style="23" customWidth="1"/>
    <col min="5125" max="5125" width="1.42578125" style="23" customWidth="1"/>
    <col min="5126" max="5126" width="12.140625" style="23" customWidth="1"/>
    <col min="5127" max="5127" width="1.28515625" style="23" customWidth="1"/>
    <col min="5128" max="5128" width="12.5703125" style="23" customWidth="1"/>
    <col min="5129" max="5129" width="1.7109375" style="23" customWidth="1"/>
    <col min="5130" max="5130" width="15.140625" style="23" customWidth="1"/>
    <col min="5131" max="5131" width="11" style="23" customWidth="1"/>
    <col min="5132" max="5132" width="1" style="23" customWidth="1"/>
    <col min="5133" max="5133" width="18.140625" style="23" customWidth="1"/>
    <col min="5134" max="5134" width="12.28515625" style="23" customWidth="1"/>
    <col min="5135" max="5135" width="6.140625" style="23" customWidth="1"/>
    <col min="5136" max="5136" width="5.28515625" style="23" customWidth="1"/>
    <col min="5137" max="5137" width="2.140625" style="23" customWidth="1"/>
    <col min="5138" max="5376" width="9.140625" style="23"/>
    <col min="5377" max="5377" width="2" style="23" customWidth="1"/>
    <col min="5378" max="5378" width="20.28515625" style="23" customWidth="1"/>
    <col min="5379" max="5379" width="8.5703125" style="23" customWidth="1"/>
    <col min="5380" max="5380" width="9.5703125" style="23" customWidth="1"/>
    <col min="5381" max="5381" width="1.42578125" style="23" customWidth="1"/>
    <col min="5382" max="5382" width="12.140625" style="23" customWidth="1"/>
    <col min="5383" max="5383" width="1.28515625" style="23" customWidth="1"/>
    <col min="5384" max="5384" width="12.5703125" style="23" customWidth="1"/>
    <col min="5385" max="5385" width="1.7109375" style="23" customWidth="1"/>
    <col min="5386" max="5386" width="15.140625" style="23" customWidth="1"/>
    <col min="5387" max="5387" width="11" style="23" customWidth="1"/>
    <col min="5388" max="5388" width="1" style="23" customWidth="1"/>
    <col min="5389" max="5389" width="18.140625" style="23" customWidth="1"/>
    <col min="5390" max="5390" width="12.28515625" style="23" customWidth="1"/>
    <col min="5391" max="5391" width="6.140625" style="23" customWidth="1"/>
    <col min="5392" max="5392" width="5.28515625" style="23" customWidth="1"/>
    <col min="5393" max="5393" width="2.140625" style="23" customWidth="1"/>
    <col min="5394" max="5632" width="9.140625" style="23"/>
    <col min="5633" max="5633" width="2" style="23" customWidth="1"/>
    <col min="5634" max="5634" width="20.28515625" style="23" customWidth="1"/>
    <col min="5635" max="5635" width="8.5703125" style="23" customWidth="1"/>
    <col min="5636" max="5636" width="9.5703125" style="23" customWidth="1"/>
    <col min="5637" max="5637" width="1.42578125" style="23" customWidth="1"/>
    <col min="5638" max="5638" width="12.140625" style="23" customWidth="1"/>
    <col min="5639" max="5639" width="1.28515625" style="23" customWidth="1"/>
    <col min="5640" max="5640" width="12.5703125" style="23" customWidth="1"/>
    <col min="5641" max="5641" width="1.7109375" style="23" customWidth="1"/>
    <col min="5642" max="5642" width="15.140625" style="23" customWidth="1"/>
    <col min="5643" max="5643" width="11" style="23" customWidth="1"/>
    <col min="5644" max="5644" width="1" style="23" customWidth="1"/>
    <col min="5645" max="5645" width="18.140625" style="23" customWidth="1"/>
    <col min="5646" max="5646" width="12.28515625" style="23" customWidth="1"/>
    <col min="5647" max="5647" width="6.140625" style="23" customWidth="1"/>
    <col min="5648" max="5648" width="5.28515625" style="23" customWidth="1"/>
    <col min="5649" max="5649" width="2.140625" style="23" customWidth="1"/>
    <col min="5650" max="5888" width="9.140625" style="23"/>
    <col min="5889" max="5889" width="2" style="23" customWidth="1"/>
    <col min="5890" max="5890" width="20.28515625" style="23" customWidth="1"/>
    <col min="5891" max="5891" width="8.5703125" style="23" customWidth="1"/>
    <col min="5892" max="5892" width="9.5703125" style="23" customWidth="1"/>
    <col min="5893" max="5893" width="1.42578125" style="23" customWidth="1"/>
    <col min="5894" max="5894" width="12.140625" style="23" customWidth="1"/>
    <col min="5895" max="5895" width="1.28515625" style="23" customWidth="1"/>
    <col min="5896" max="5896" width="12.5703125" style="23" customWidth="1"/>
    <col min="5897" max="5897" width="1.7109375" style="23" customWidth="1"/>
    <col min="5898" max="5898" width="15.140625" style="23" customWidth="1"/>
    <col min="5899" max="5899" width="11" style="23" customWidth="1"/>
    <col min="5900" max="5900" width="1" style="23" customWidth="1"/>
    <col min="5901" max="5901" width="18.140625" style="23" customWidth="1"/>
    <col min="5902" max="5902" width="12.28515625" style="23" customWidth="1"/>
    <col min="5903" max="5903" width="6.140625" style="23" customWidth="1"/>
    <col min="5904" max="5904" width="5.28515625" style="23" customWidth="1"/>
    <col min="5905" max="5905" width="2.140625" style="23" customWidth="1"/>
    <col min="5906" max="6144" width="9.140625" style="23"/>
    <col min="6145" max="6145" width="2" style="23" customWidth="1"/>
    <col min="6146" max="6146" width="20.28515625" style="23" customWidth="1"/>
    <col min="6147" max="6147" width="8.5703125" style="23" customWidth="1"/>
    <col min="6148" max="6148" width="9.5703125" style="23" customWidth="1"/>
    <col min="6149" max="6149" width="1.42578125" style="23" customWidth="1"/>
    <col min="6150" max="6150" width="12.140625" style="23" customWidth="1"/>
    <col min="6151" max="6151" width="1.28515625" style="23" customWidth="1"/>
    <col min="6152" max="6152" width="12.5703125" style="23" customWidth="1"/>
    <col min="6153" max="6153" width="1.7109375" style="23" customWidth="1"/>
    <col min="6154" max="6154" width="15.140625" style="23" customWidth="1"/>
    <col min="6155" max="6155" width="11" style="23" customWidth="1"/>
    <col min="6156" max="6156" width="1" style="23" customWidth="1"/>
    <col min="6157" max="6157" width="18.140625" style="23" customWidth="1"/>
    <col min="6158" max="6158" width="12.28515625" style="23" customWidth="1"/>
    <col min="6159" max="6159" width="6.140625" style="23" customWidth="1"/>
    <col min="6160" max="6160" width="5.28515625" style="23" customWidth="1"/>
    <col min="6161" max="6161" width="2.140625" style="23" customWidth="1"/>
    <col min="6162" max="6400" width="9.140625" style="23"/>
    <col min="6401" max="6401" width="2" style="23" customWidth="1"/>
    <col min="6402" max="6402" width="20.28515625" style="23" customWidth="1"/>
    <col min="6403" max="6403" width="8.5703125" style="23" customWidth="1"/>
    <col min="6404" max="6404" width="9.5703125" style="23" customWidth="1"/>
    <col min="6405" max="6405" width="1.42578125" style="23" customWidth="1"/>
    <col min="6406" max="6406" width="12.140625" style="23" customWidth="1"/>
    <col min="6407" max="6407" width="1.28515625" style="23" customWidth="1"/>
    <col min="6408" max="6408" width="12.5703125" style="23" customWidth="1"/>
    <col min="6409" max="6409" width="1.7109375" style="23" customWidth="1"/>
    <col min="6410" max="6410" width="15.140625" style="23" customWidth="1"/>
    <col min="6411" max="6411" width="11" style="23" customWidth="1"/>
    <col min="6412" max="6412" width="1" style="23" customWidth="1"/>
    <col min="6413" max="6413" width="18.140625" style="23" customWidth="1"/>
    <col min="6414" max="6414" width="12.28515625" style="23" customWidth="1"/>
    <col min="6415" max="6415" width="6.140625" style="23" customWidth="1"/>
    <col min="6416" max="6416" width="5.28515625" style="23" customWidth="1"/>
    <col min="6417" max="6417" width="2.140625" style="23" customWidth="1"/>
    <col min="6418" max="6656" width="9.140625" style="23"/>
    <col min="6657" max="6657" width="2" style="23" customWidth="1"/>
    <col min="6658" max="6658" width="20.28515625" style="23" customWidth="1"/>
    <col min="6659" max="6659" width="8.5703125" style="23" customWidth="1"/>
    <col min="6660" max="6660" width="9.5703125" style="23" customWidth="1"/>
    <col min="6661" max="6661" width="1.42578125" style="23" customWidth="1"/>
    <col min="6662" max="6662" width="12.140625" style="23" customWidth="1"/>
    <col min="6663" max="6663" width="1.28515625" style="23" customWidth="1"/>
    <col min="6664" max="6664" width="12.5703125" style="23" customWidth="1"/>
    <col min="6665" max="6665" width="1.7109375" style="23" customWidth="1"/>
    <col min="6666" max="6666" width="15.140625" style="23" customWidth="1"/>
    <col min="6667" max="6667" width="11" style="23" customWidth="1"/>
    <col min="6668" max="6668" width="1" style="23" customWidth="1"/>
    <col min="6669" max="6669" width="18.140625" style="23" customWidth="1"/>
    <col min="6670" max="6670" width="12.28515625" style="23" customWidth="1"/>
    <col min="6671" max="6671" width="6.140625" style="23" customWidth="1"/>
    <col min="6672" max="6672" width="5.28515625" style="23" customWidth="1"/>
    <col min="6673" max="6673" width="2.140625" style="23" customWidth="1"/>
    <col min="6674" max="6912" width="9.140625" style="23"/>
    <col min="6913" max="6913" width="2" style="23" customWidth="1"/>
    <col min="6914" max="6914" width="20.28515625" style="23" customWidth="1"/>
    <col min="6915" max="6915" width="8.5703125" style="23" customWidth="1"/>
    <col min="6916" max="6916" width="9.5703125" style="23" customWidth="1"/>
    <col min="6917" max="6917" width="1.42578125" style="23" customWidth="1"/>
    <col min="6918" max="6918" width="12.140625" style="23" customWidth="1"/>
    <col min="6919" max="6919" width="1.28515625" style="23" customWidth="1"/>
    <col min="6920" max="6920" width="12.5703125" style="23" customWidth="1"/>
    <col min="6921" max="6921" width="1.7109375" style="23" customWidth="1"/>
    <col min="6922" max="6922" width="15.140625" style="23" customWidth="1"/>
    <col min="6923" max="6923" width="11" style="23" customWidth="1"/>
    <col min="6924" max="6924" width="1" style="23" customWidth="1"/>
    <col min="6925" max="6925" width="18.140625" style="23" customWidth="1"/>
    <col min="6926" max="6926" width="12.28515625" style="23" customWidth="1"/>
    <col min="6927" max="6927" width="6.140625" style="23" customWidth="1"/>
    <col min="6928" max="6928" width="5.28515625" style="23" customWidth="1"/>
    <col min="6929" max="6929" width="2.140625" style="23" customWidth="1"/>
    <col min="6930" max="7168" width="9.140625" style="23"/>
    <col min="7169" max="7169" width="2" style="23" customWidth="1"/>
    <col min="7170" max="7170" width="20.28515625" style="23" customWidth="1"/>
    <col min="7171" max="7171" width="8.5703125" style="23" customWidth="1"/>
    <col min="7172" max="7172" width="9.5703125" style="23" customWidth="1"/>
    <col min="7173" max="7173" width="1.42578125" style="23" customWidth="1"/>
    <col min="7174" max="7174" width="12.140625" style="23" customWidth="1"/>
    <col min="7175" max="7175" width="1.28515625" style="23" customWidth="1"/>
    <col min="7176" max="7176" width="12.5703125" style="23" customWidth="1"/>
    <col min="7177" max="7177" width="1.7109375" style="23" customWidth="1"/>
    <col min="7178" max="7178" width="15.140625" style="23" customWidth="1"/>
    <col min="7179" max="7179" width="11" style="23" customWidth="1"/>
    <col min="7180" max="7180" width="1" style="23" customWidth="1"/>
    <col min="7181" max="7181" width="18.140625" style="23" customWidth="1"/>
    <col min="7182" max="7182" width="12.28515625" style="23" customWidth="1"/>
    <col min="7183" max="7183" width="6.140625" style="23" customWidth="1"/>
    <col min="7184" max="7184" width="5.28515625" style="23" customWidth="1"/>
    <col min="7185" max="7185" width="2.140625" style="23" customWidth="1"/>
    <col min="7186" max="7424" width="9.140625" style="23"/>
    <col min="7425" max="7425" width="2" style="23" customWidth="1"/>
    <col min="7426" max="7426" width="20.28515625" style="23" customWidth="1"/>
    <col min="7427" max="7427" width="8.5703125" style="23" customWidth="1"/>
    <col min="7428" max="7428" width="9.5703125" style="23" customWidth="1"/>
    <col min="7429" max="7429" width="1.42578125" style="23" customWidth="1"/>
    <col min="7430" max="7430" width="12.140625" style="23" customWidth="1"/>
    <col min="7431" max="7431" width="1.28515625" style="23" customWidth="1"/>
    <col min="7432" max="7432" width="12.5703125" style="23" customWidth="1"/>
    <col min="7433" max="7433" width="1.7109375" style="23" customWidth="1"/>
    <col min="7434" max="7434" width="15.140625" style="23" customWidth="1"/>
    <col min="7435" max="7435" width="11" style="23" customWidth="1"/>
    <col min="7436" max="7436" width="1" style="23" customWidth="1"/>
    <col min="7437" max="7437" width="18.140625" style="23" customWidth="1"/>
    <col min="7438" max="7438" width="12.28515625" style="23" customWidth="1"/>
    <col min="7439" max="7439" width="6.140625" style="23" customWidth="1"/>
    <col min="7440" max="7440" width="5.28515625" style="23" customWidth="1"/>
    <col min="7441" max="7441" width="2.140625" style="23" customWidth="1"/>
    <col min="7442" max="7680" width="9.140625" style="23"/>
    <col min="7681" max="7681" width="2" style="23" customWidth="1"/>
    <col min="7682" max="7682" width="20.28515625" style="23" customWidth="1"/>
    <col min="7683" max="7683" width="8.5703125" style="23" customWidth="1"/>
    <col min="7684" max="7684" width="9.5703125" style="23" customWidth="1"/>
    <col min="7685" max="7685" width="1.42578125" style="23" customWidth="1"/>
    <col min="7686" max="7686" width="12.140625" style="23" customWidth="1"/>
    <col min="7687" max="7687" width="1.28515625" style="23" customWidth="1"/>
    <col min="7688" max="7688" width="12.5703125" style="23" customWidth="1"/>
    <col min="7689" max="7689" width="1.7109375" style="23" customWidth="1"/>
    <col min="7690" max="7690" width="15.140625" style="23" customWidth="1"/>
    <col min="7691" max="7691" width="11" style="23" customWidth="1"/>
    <col min="7692" max="7692" width="1" style="23" customWidth="1"/>
    <col min="7693" max="7693" width="18.140625" style="23" customWidth="1"/>
    <col min="7694" max="7694" width="12.28515625" style="23" customWidth="1"/>
    <col min="7695" max="7695" width="6.140625" style="23" customWidth="1"/>
    <col min="7696" max="7696" width="5.28515625" style="23" customWidth="1"/>
    <col min="7697" max="7697" width="2.140625" style="23" customWidth="1"/>
    <col min="7698" max="7936" width="9.140625" style="23"/>
    <col min="7937" max="7937" width="2" style="23" customWidth="1"/>
    <col min="7938" max="7938" width="20.28515625" style="23" customWidth="1"/>
    <col min="7939" max="7939" width="8.5703125" style="23" customWidth="1"/>
    <col min="7940" max="7940" width="9.5703125" style="23" customWidth="1"/>
    <col min="7941" max="7941" width="1.42578125" style="23" customWidth="1"/>
    <col min="7942" max="7942" width="12.140625" style="23" customWidth="1"/>
    <col min="7943" max="7943" width="1.28515625" style="23" customWidth="1"/>
    <col min="7944" max="7944" width="12.5703125" style="23" customWidth="1"/>
    <col min="7945" max="7945" width="1.7109375" style="23" customWidth="1"/>
    <col min="7946" max="7946" width="15.140625" style="23" customWidth="1"/>
    <col min="7947" max="7947" width="11" style="23" customWidth="1"/>
    <col min="7948" max="7948" width="1" style="23" customWidth="1"/>
    <col min="7949" max="7949" width="18.140625" style="23" customWidth="1"/>
    <col min="7950" max="7950" width="12.28515625" style="23" customWidth="1"/>
    <col min="7951" max="7951" width="6.140625" style="23" customWidth="1"/>
    <col min="7952" max="7952" width="5.28515625" style="23" customWidth="1"/>
    <col min="7953" max="7953" width="2.140625" style="23" customWidth="1"/>
    <col min="7954" max="8192" width="9.140625" style="23"/>
    <col min="8193" max="8193" width="2" style="23" customWidth="1"/>
    <col min="8194" max="8194" width="20.28515625" style="23" customWidth="1"/>
    <col min="8195" max="8195" width="8.5703125" style="23" customWidth="1"/>
    <col min="8196" max="8196" width="9.5703125" style="23" customWidth="1"/>
    <col min="8197" max="8197" width="1.42578125" style="23" customWidth="1"/>
    <col min="8198" max="8198" width="12.140625" style="23" customWidth="1"/>
    <col min="8199" max="8199" width="1.28515625" style="23" customWidth="1"/>
    <col min="8200" max="8200" width="12.5703125" style="23" customWidth="1"/>
    <col min="8201" max="8201" width="1.7109375" style="23" customWidth="1"/>
    <col min="8202" max="8202" width="15.140625" style="23" customWidth="1"/>
    <col min="8203" max="8203" width="11" style="23" customWidth="1"/>
    <col min="8204" max="8204" width="1" style="23" customWidth="1"/>
    <col min="8205" max="8205" width="18.140625" style="23" customWidth="1"/>
    <col min="8206" max="8206" width="12.28515625" style="23" customWidth="1"/>
    <col min="8207" max="8207" width="6.140625" style="23" customWidth="1"/>
    <col min="8208" max="8208" width="5.28515625" style="23" customWidth="1"/>
    <col min="8209" max="8209" width="2.140625" style="23" customWidth="1"/>
    <col min="8210" max="8448" width="9.140625" style="23"/>
    <col min="8449" max="8449" width="2" style="23" customWidth="1"/>
    <col min="8450" max="8450" width="20.28515625" style="23" customWidth="1"/>
    <col min="8451" max="8451" width="8.5703125" style="23" customWidth="1"/>
    <col min="8452" max="8452" width="9.5703125" style="23" customWidth="1"/>
    <col min="8453" max="8453" width="1.42578125" style="23" customWidth="1"/>
    <col min="8454" max="8454" width="12.140625" style="23" customWidth="1"/>
    <col min="8455" max="8455" width="1.28515625" style="23" customWidth="1"/>
    <col min="8456" max="8456" width="12.5703125" style="23" customWidth="1"/>
    <col min="8457" max="8457" width="1.7109375" style="23" customWidth="1"/>
    <col min="8458" max="8458" width="15.140625" style="23" customWidth="1"/>
    <col min="8459" max="8459" width="11" style="23" customWidth="1"/>
    <col min="8460" max="8460" width="1" style="23" customWidth="1"/>
    <col min="8461" max="8461" width="18.140625" style="23" customWidth="1"/>
    <col min="8462" max="8462" width="12.28515625" style="23" customWidth="1"/>
    <col min="8463" max="8463" width="6.140625" style="23" customWidth="1"/>
    <col min="8464" max="8464" width="5.28515625" style="23" customWidth="1"/>
    <col min="8465" max="8465" width="2.140625" style="23" customWidth="1"/>
    <col min="8466" max="8704" width="9.140625" style="23"/>
    <col min="8705" max="8705" width="2" style="23" customWidth="1"/>
    <col min="8706" max="8706" width="20.28515625" style="23" customWidth="1"/>
    <col min="8707" max="8707" width="8.5703125" style="23" customWidth="1"/>
    <col min="8708" max="8708" width="9.5703125" style="23" customWidth="1"/>
    <col min="8709" max="8709" width="1.42578125" style="23" customWidth="1"/>
    <col min="8710" max="8710" width="12.140625" style="23" customWidth="1"/>
    <col min="8711" max="8711" width="1.28515625" style="23" customWidth="1"/>
    <col min="8712" max="8712" width="12.5703125" style="23" customWidth="1"/>
    <col min="8713" max="8713" width="1.7109375" style="23" customWidth="1"/>
    <col min="8714" max="8714" width="15.140625" style="23" customWidth="1"/>
    <col min="8715" max="8715" width="11" style="23" customWidth="1"/>
    <col min="8716" max="8716" width="1" style="23" customWidth="1"/>
    <col min="8717" max="8717" width="18.140625" style="23" customWidth="1"/>
    <col min="8718" max="8718" width="12.28515625" style="23" customWidth="1"/>
    <col min="8719" max="8719" width="6.140625" style="23" customWidth="1"/>
    <col min="8720" max="8720" width="5.28515625" style="23" customWidth="1"/>
    <col min="8721" max="8721" width="2.140625" style="23" customWidth="1"/>
    <col min="8722" max="8960" width="9.140625" style="23"/>
    <col min="8961" max="8961" width="2" style="23" customWidth="1"/>
    <col min="8962" max="8962" width="20.28515625" style="23" customWidth="1"/>
    <col min="8963" max="8963" width="8.5703125" style="23" customWidth="1"/>
    <col min="8964" max="8964" width="9.5703125" style="23" customWidth="1"/>
    <col min="8965" max="8965" width="1.42578125" style="23" customWidth="1"/>
    <col min="8966" max="8966" width="12.140625" style="23" customWidth="1"/>
    <col min="8967" max="8967" width="1.28515625" style="23" customWidth="1"/>
    <col min="8968" max="8968" width="12.5703125" style="23" customWidth="1"/>
    <col min="8969" max="8969" width="1.7109375" style="23" customWidth="1"/>
    <col min="8970" max="8970" width="15.140625" style="23" customWidth="1"/>
    <col min="8971" max="8971" width="11" style="23" customWidth="1"/>
    <col min="8972" max="8972" width="1" style="23" customWidth="1"/>
    <col min="8973" max="8973" width="18.140625" style="23" customWidth="1"/>
    <col min="8974" max="8974" width="12.28515625" style="23" customWidth="1"/>
    <col min="8975" max="8975" width="6.140625" style="23" customWidth="1"/>
    <col min="8976" max="8976" width="5.28515625" style="23" customWidth="1"/>
    <col min="8977" max="8977" width="2.140625" style="23" customWidth="1"/>
    <col min="8978" max="9216" width="9.140625" style="23"/>
    <col min="9217" max="9217" width="2" style="23" customWidth="1"/>
    <col min="9218" max="9218" width="20.28515625" style="23" customWidth="1"/>
    <col min="9219" max="9219" width="8.5703125" style="23" customWidth="1"/>
    <col min="9220" max="9220" width="9.5703125" style="23" customWidth="1"/>
    <col min="9221" max="9221" width="1.42578125" style="23" customWidth="1"/>
    <col min="9222" max="9222" width="12.140625" style="23" customWidth="1"/>
    <col min="9223" max="9223" width="1.28515625" style="23" customWidth="1"/>
    <col min="9224" max="9224" width="12.5703125" style="23" customWidth="1"/>
    <col min="9225" max="9225" width="1.7109375" style="23" customWidth="1"/>
    <col min="9226" max="9226" width="15.140625" style="23" customWidth="1"/>
    <col min="9227" max="9227" width="11" style="23" customWidth="1"/>
    <col min="9228" max="9228" width="1" style="23" customWidth="1"/>
    <col min="9229" max="9229" width="18.140625" style="23" customWidth="1"/>
    <col min="9230" max="9230" width="12.28515625" style="23" customWidth="1"/>
    <col min="9231" max="9231" width="6.140625" style="23" customWidth="1"/>
    <col min="9232" max="9232" width="5.28515625" style="23" customWidth="1"/>
    <col min="9233" max="9233" width="2.140625" style="23" customWidth="1"/>
    <col min="9234" max="9472" width="9.140625" style="23"/>
    <col min="9473" max="9473" width="2" style="23" customWidth="1"/>
    <col min="9474" max="9474" width="20.28515625" style="23" customWidth="1"/>
    <col min="9475" max="9475" width="8.5703125" style="23" customWidth="1"/>
    <col min="9476" max="9476" width="9.5703125" style="23" customWidth="1"/>
    <col min="9477" max="9477" width="1.42578125" style="23" customWidth="1"/>
    <col min="9478" max="9478" width="12.140625" style="23" customWidth="1"/>
    <col min="9479" max="9479" width="1.28515625" style="23" customWidth="1"/>
    <col min="9480" max="9480" width="12.5703125" style="23" customWidth="1"/>
    <col min="9481" max="9481" width="1.7109375" style="23" customWidth="1"/>
    <col min="9482" max="9482" width="15.140625" style="23" customWidth="1"/>
    <col min="9483" max="9483" width="11" style="23" customWidth="1"/>
    <col min="9484" max="9484" width="1" style="23" customWidth="1"/>
    <col min="9485" max="9485" width="18.140625" style="23" customWidth="1"/>
    <col min="9486" max="9486" width="12.28515625" style="23" customWidth="1"/>
    <col min="9487" max="9487" width="6.140625" style="23" customWidth="1"/>
    <col min="9488" max="9488" width="5.28515625" style="23" customWidth="1"/>
    <col min="9489" max="9489" width="2.140625" style="23" customWidth="1"/>
    <col min="9490" max="9728" width="9.140625" style="23"/>
    <col min="9729" max="9729" width="2" style="23" customWidth="1"/>
    <col min="9730" max="9730" width="20.28515625" style="23" customWidth="1"/>
    <col min="9731" max="9731" width="8.5703125" style="23" customWidth="1"/>
    <col min="9732" max="9732" width="9.5703125" style="23" customWidth="1"/>
    <col min="9733" max="9733" width="1.42578125" style="23" customWidth="1"/>
    <col min="9734" max="9734" width="12.140625" style="23" customWidth="1"/>
    <col min="9735" max="9735" width="1.28515625" style="23" customWidth="1"/>
    <col min="9736" max="9736" width="12.5703125" style="23" customWidth="1"/>
    <col min="9737" max="9737" width="1.7109375" style="23" customWidth="1"/>
    <col min="9738" max="9738" width="15.140625" style="23" customWidth="1"/>
    <col min="9739" max="9739" width="11" style="23" customWidth="1"/>
    <col min="9740" max="9740" width="1" style="23" customWidth="1"/>
    <col min="9741" max="9741" width="18.140625" style="23" customWidth="1"/>
    <col min="9742" max="9742" width="12.28515625" style="23" customWidth="1"/>
    <col min="9743" max="9743" width="6.140625" style="23" customWidth="1"/>
    <col min="9744" max="9744" width="5.28515625" style="23" customWidth="1"/>
    <col min="9745" max="9745" width="2.140625" style="23" customWidth="1"/>
    <col min="9746" max="9984" width="9.140625" style="23"/>
    <col min="9985" max="9985" width="2" style="23" customWidth="1"/>
    <col min="9986" max="9986" width="20.28515625" style="23" customWidth="1"/>
    <col min="9987" max="9987" width="8.5703125" style="23" customWidth="1"/>
    <col min="9988" max="9988" width="9.5703125" style="23" customWidth="1"/>
    <col min="9989" max="9989" width="1.42578125" style="23" customWidth="1"/>
    <col min="9990" max="9990" width="12.140625" style="23" customWidth="1"/>
    <col min="9991" max="9991" width="1.28515625" style="23" customWidth="1"/>
    <col min="9992" max="9992" width="12.5703125" style="23" customWidth="1"/>
    <col min="9993" max="9993" width="1.7109375" style="23" customWidth="1"/>
    <col min="9994" max="9994" width="15.140625" style="23" customWidth="1"/>
    <col min="9995" max="9995" width="11" style="23" customWidth="1"/>
    <col min="9996" max="9996" width="1" style="23" customWidth="1"/>
    <col min="9997" max="9997" width="18.140625" style="23" customWidth="1"/>
    <col min="9998" max="9998" width="12.28515625" style="23" customWidth="1"/>
    <col min="9999" max="9999" width="6.140625" style="23" customWidth="1"/>
    <col min="10000" max="10000" width="5.28515625" style="23" customWidth="1"/>
    <col min="10001" max="10001" width="2.140625" style="23" customWidth="1"/>
    <col min="10002" max="10240" width="9.140625" style="23"/>
    <col min="10241" max="10241" width="2" style="23" customWidth="1"/>
    <col min="10242" max="10242" width="20.28515625" style="23" customWidth="1"/>
    <col min="10243" max="10243" width="8.5703125" style="23" customWidth="1"/>
    <col min="10244" max="10244" width="9.5703125" style="23" customWidth="1"/>
    <col min="10245" max="10245" width="1.42578125" style="23" customWidth="1"/>
    <col min="10246" max="10246" width="12.140625" style="23" customWidth="1"/>
    <col min="10247" max="10247" width="1.28515625" style="23" customWidth="1"/>
    <col min="10248" max="10248" width="12.5703125" style="23" customWidth="1"/>
    <col min="10249" max="10249" width="1.7109375" style="23" customWidth="1"/>
    <col min="10250" max="10250" width="15.140625" style="23" customWidth="1"/>
    <col min="10251" max="10251" width="11" style="23" customWidth="1"/>
    <col min="10252" max="10252" width="1" style="23" customWidth="1"/>
    <col min="10253" max="10253" width="18.140625" style="23" customWidth="1"/>
    <col min="10254" max="10254" width="12.28515625" style="23" customWidth="1"/>
    <col min="10255" max="10255" width="6.140625" style="23" customWidth="1"/>
    <col min="10256" max="10256" width="5.28515625" style="23" customWidth="1"/>
    <col min="10257" max="10257" width="2.140625" style="23" customWidth="1"/>
    <col min="10258" max="10496" width="9.140625" style="23"/>
    <col min="10497" max="10497" width="2" style="23" customWidth="1"/>
    <col min="10498" max="10498" width="20.28515625" style="23" customWidth="1"/>
    <col min="10499" max="10499" width="8.5703125" style="23" customWidth="1"/>
    <col min="10500" max="10500" width="9.5703125" style="23" customWidth="1"/>
    <col min="10501" max="10501" width="1.42578125" style="23" customWidth="1"/>
    <col min="10502" max="10502" width="12.140625" style="23" customWidth="1"/>
    <col min="10503" max="10503" width="1.28515625" style="23" customWidth="1"/>
    <col min="10504" max="10504" width="12.5703125" style="23" customWidth="1"/>
    <col min="10505" max="10505" width="1.7109375" style="23" customWidth="1"/>
    <col min="10506" max="10506" width="15.140625" style="23" customWidth="1"/>
    <col min="10507" max="10507" width="11" style="23" customWidth="1"/>
    <col min="10508" max="10508" width="1" style="23" customWidth="1"/>
    <col min="10509" max="10509" width="18.140625" style="23" customWidth="1"/>
    <col min="10510" max="10510" width="12.28515625" style="23" customWidth="1"/>
    <col min="10511" max="10511" width="6.140625" style="23" customWidth="1"/>
    <col min="10512" max="10512" width="5.28515625" style="23" customWidth="1"/>
    <col min="10513" max="10513" width="2.140625" style="23" customWidth="1"/>
    <col min="10514" max="10752" width="9.140625" style="23"/>
    <col min="10753" max="10753" width="2" style="23" customWidth="1"/>
    <col min="10754" max="10754" width="20.28515625" style="23" customWidth="1"/>
    <col min="10755" max="10755" width="8.5703125" style="23" customWidth="1"/>
    <col min="10756" max="10756" width="9.5703125" style="23" customWidth="1"/>
    <col min="10757" max="10757" width="1.42578125" style="23" customWidth="1"/>
    <col min="10758" max="10758" width="12.140625" style="23" customWidth="1"/>
    <col min="10759" max="10759" width="1.28515625" style="23" customWidth="1"/>
    <col min="10760" max="10760" width="12.5703125" style="23" customWidth="1"/>
    <col min="10761" max="10761" width="1.7109375" style="23" customWidth="1"/>
    <col min="10762" max="10762" width="15.140625" style="23" customWidth="1"/>
    <col min="10763" max="10763" width="11" style="23" customWidth="1"/>
    <col min="10764" max="10764" width="1" style="23" customWidth="1"/>
    <col min="10765" max="10765" width="18.140625" style="23" customWidth="1"/>
    <col min="10766" max="10766" width="12.28515625" style="23" customWidth="1"/>
    <col min="10767" max="10767" width="6.140625" style="23" customWidth="1"/>
    <col min="10768" max="10768" width="5.28515625" style="23" customWidth="1"/>
    <col min="10769" max="10769" width="2.140625" style="23" customWidth="1"/>
    <col min="10770" max="11008" width="9.140625" style="23"/>
    <col min="11009" max="11009" width="2" style="23" customWidth="1"/>
    <col min="11010" max="11010" width="20.28515625" style="23" customWidth="1"/>
    <col min="11011" max="11011" width="8.5703125" style="23" customWidth="1"/>
    <col min="11012" max="11012" width="9.5703125" style="23" customWidth="1"/>
    <col min="11013" max="11013" width="1.42578125" style="23" customWidth="1"/>
    <col min="11014" max="11014" width="12.140625" style="23" customWidth="1"/>
    <col min="11015" max="11015" width="1.28515625" style="23" customWidth="1"/>
    <col min="11016" max="11016" width="12.5703125" style="23" customWidth="1"/>
    <col min="11017" max="11017" width="1.7109375" style="23" customWidth="1"/>
    <col min="11018" max="11018" width="15.140625" style="23" customWidth="1"/>
    <col min="11019" max="11019" width="11" style="23" customWidth="1"/>
    <col min="11020" max="11020" width="1" style="23" customWidth="1"/>
    <col min="11021" max="11021" width="18.140625" style="23" customWidth="1"/>
    <col min="11022" max="11022" width="12.28515625" style="23" customWidth="1"/>
    <col min="11023" max="11023" width="6.140625" style="23" customWidth="1"/>
    <col min="11024" max="11024" width="5.28515625" style="23" customWidth="1"/>
    <col min="11025" max="11025" width="2.140625" style="23" customWidth="1"/>
    <col min="11026" max="11264" width="9.140625" style="23"/>
    <col min="11265" max="11265" width="2" style="23" customWidth="1"/>
    <col min="11266" max="11266" width="20.28515625" style="23" customWidth="1"/>
    <col min="11267" max="11267" width="8.5703125" style="23" customWidth="1"/>
    <col min="11268" max="11268" width="9.5703125" style="23" customWidth="1"/>
    <col min="11269" max="11269" width="1.42578125" style="23" customWidth="1"/>
    <col min="11270" max="11270" width="12.140625" style="23" customWidth="1"/>
    <col min="11271" max="11271" width="1.28515625" style="23" customWidth="1"/>
    <col min="11272" max="11272" width="12.5703125" style="23" customWidth="1"/>
    <col min="11273" max="11273" width="1.7109375" style="23" customWidth="1"/>
    <col min="11274" max="11274" width="15.140625" style="23" customWidth="1"/>
    <col min="11275" max="11275" width="11" style="23" customWidth="1"/>
    <col min="11276" max="11276" width="1" style="23" customWidth="1"/>
    <col min="11277" max="11277" width="18.140625" style="23" customWidth="1"/>
    <col min="11278" max="11278" width="12.28515625" style="23" customWidth="1"/>
    <col min="11279" max="11279" width="6.140625" style="23" customWidth="1"/>
    <col min="11280" max="11280" width="5.28515625" style="23" customWidth="1"/>
    <col min="11281" max="11281" width="2.140625" style="23" customWidth="1"/>
    <col min="11282" max="11520" width="9.140625" style="23"/>
    <col min="11521" max="11521" width="2" style="23" customWidth="1"/>
    <col min="11522" max="11522" width="20.28515625" style="23" customWidth="1"/>
    <col min="11523" max="11523" width="8.5703125" style="23" customWidth="1"/>
    <col min="11524" max="11524" width="9.5703125" style="23" customWidth="1"/>
    <col min="11525" max="11525" width="1.42578125" style="23" customWidth="1"/>
    <col min="11526" max="11526" width="12.140625" style="23" customWidth="1"/>
    <col min="11527" max="11527" width="1.28515625" style="23" customWidth="1"/>
    <col min="11528" max="11528" width="12.5703125" style="23" customWidth="1"/>
    <col min="11529" max="11529" width="1.7109375" style="23" customWidth="1"/>
    <col min="11530" max="11530" width="15.140625" style="23" customWidth="1"/>
    <col min="11531" max="11531" width="11" style="23" customWidth="1"/>
    <col min="11532" max="11532" width="1" style="23" customWidth="1"/>
    <col min="11533" max="11533" width="18.140625" style="23" customWidth="1"/>
    <col min="11534" max="11534" width="12.28515625" style="23" customWidth="1"/>
    <col min="11535" max="11535" width="6.140625" style="23" customWidth="1"/>
    <col min="11536" max="11536" width="5.28515625" style="23" customWidth="1"/>
    <col min="11537" max="11537" width="2.140625" style="23" customWidth="1"/>
    <col min="11538" max="11776" width="9.140625" style="23"/>
    <col min="11777" max="11777" width="2" style="23" customWidth="1"/>
    <col min="11778" max="11778" width="20.28515625" style="23" customWidth="1"/>
    <col min="11779" max="11779" width="8.5703125" style="23" customWidth="1"/>
    <col min="11780" max="11780" width="9.5703125" style="23" customWidth="1"/>
    <col min="11781" max="11781" width="1.42578125" style="23" customWidth="1"/>
    <col min="11782" max="11782" width="12.140625" style="23" customWidth="1"/>
    <col min="11783" max="11783" width="1.28515625" style="23" customWidth="1"/>
    <col min="11784" max="11784" width="12.5703125" style="23" customWidth="1"/>
    <col min="11785" max="11785" width="1.7109375" style="23" customWidth="1"/>
    <col min="11786" max="11786" width="15.140625" style="23" customWidth="1"/>
    <col min="11787" max="11787" width="11" style="23" customWidth="1"/>
    <col min="11788" max="11788" width="1" style="23" customWidth="1"/>
    <col min="11789" max="11789" width="18.140625" style="23" customWidth="1"/>
    <col min="11790" max="11790" width="12.28515625" style="23" customWidth="1"/>
    <col min="11791" max="11791" width="6.140625" style="23" customWidth="1"/>
    <col min="11792" max="11792" width="5.28515625" style="23" customWidth="1"/>
    <col min="11793" max="11793" width="2.140625" style="23" customWidth="1"/>
    <col min="11794" max="12032" width="9.140625" style="23"/>
    <col min="12033" max="12033" width="2" style="23" customWidth="1"/>
    <col min="12034" max="12034" width="20.28515625" style="23" customWidth="1"/>
    <col min="12035" max="12035" width="8.5703125" style="23" customWidth="1"/>
    <col min="12036" max="12036" width="9.5703125" style="23" customWidth="1"/>
    <col min="12037" max="12037" width="1.42578125" style="23" customWidth="1"/>
    <col min="12038" max="12038" width="12.140625" style="23" customWidth="1"/>
    <col min="12039" max="12039" width="1.28515625" style="23" customWidth="1"/>
    <col min="12040" max="12040" width="12.5703125" style="23" customWidth="1"/>
    <col min="12041" max="12041" width="1.7109375" style="23" customWidth="1"/>
    <col min="12042" max="12042" width="15.140625" style="23" customWidth="1"/>
    <col min="12043" max="12043" width="11" style="23" customWidth="1"/>
    <col min="12044" max="12044" width="1" style="23" customWidth="1"/>
    <col min="12045" max="12045" width="18.140625" style="23" customWidth="1"/>
    <col min="12046" max="12046" width="12.28515625" style="23" customWidth="1"/>
    <col min="12047" max="12047" width="6.140625" style="23" customWidth="1"/>
    <col min="12048" max="12048" width="5.28515625" style="23" customWidth="1"/>
    <col min="12049" max="12049" width="2.140625" style="23" customWidth="1"/>
    <col min="12050" max="12288" width="9.140625" style="23"/>
    <col min="12289" max="12289" width="2" style="23" customWidth="1"/>
    <col min="12290" max="12290" width="20.28515625" style="23" customWidth="1"/>
    <col min="12291" max="12291" width="8.5703125" style="23" customWidth="1"/>
    <col min="12292" max="12292" width="9.5703125" style="23" customWidth="1"/>
    <col min="12293" max="12293" width="1.42578125" style="23" customWidth="1"/>
    <col min="12294" max="12294" width="12.140625" style="23" customWidth="1"/>
    <col min="12295" max="12295" width="1.28515625" style="23" customWidth="1"/>
    <col min="12296" max="12296" width="12.5703125" style="23" customWidth="1"/>
    <col min="12297" max="12297" width="1.7109375" style="23" customWidth="1"/>
    <col min="12298" max="12298" width="15.140625" style="23" customWidth="1"/>
    <col min="12299" max="12299" width="11" style="23" customWidth="1"/>
    <col min="12300" max="12300" width="1" style="23" customWidth="1"/>
    <col min="12301" max="12301" width="18.140625" style="23" customWidth="1"/>
    <col min="12302" max="12302" width="12.28515625" style="23" customWidth="1"/>
    <col min="12303" max="12303" width="6.140625" style="23" customWidth="1"/>
    <col min="12304" max="12304" width="5.28515625" style="23" customWidth="1"/>
    <col min="12305" max="12305" width="2.140625" style="23" customWidth="1"/>
    <col min="12306" max="12544" width="9.140625" style="23"/>
    <col min="12545" max="12545" width="2" style="23" customWidth="1"/>
    <col min="12546" max="12546" width="20.28515625" style="23" customWidth="1"/>
    <col min="12547" max="12547" width="8.5703125" style="23" customWidth="1"/>
    <col min="12548" max="12548" width="9.5703125" style="23" customWidth="1"/>
    <col min="12549" max="12549" width="1.42578125" style="23" customWidth="1"/>
    <col min="12550" max="12550" width="12.140625" style="23" customWidth="1"/>
    <col min="12551" max="12551" width="1.28515625" style="23" customWidth="1"/>
    <col min="12552" max="12552" width="12.5703125" style="23" customWidth="1"/>
    <col min="12553" max="12553" width="1.7109375" style="23" customWidth="1"/>
    <col min="12554" max="12554" width="15.140625" style="23" customWidth="1"/>
    <col min="12555" max="12555" width="11" style="23" customWidth="1"/>
    <col min="12556" max="12556" width="1" style="23" customWidth="1"/>
    <col min="12557" max="12557" width="18.140625" style="23" customWidth="1"/>
    <col min="12558" max="12558" width="12.28515625" style="23" customWidth="1"/>
    <col min="12559" max="12559" width="6.140625" style="23" customWidth="1"/>
    <col min="12560" max="12560" width="5.28515625" style="23" customWidth="1"/>
    <col min="12561" max="12561" width="2.140625" style="23" customWidth="1"/>
    <col min="12562" max="12800" width="9.140625" style="23"/>
    <col min="12801" max="12801" width="2" style="23" customWidth="1"/>
    <col min="12802" max="12802" width="20.28515625" style="23" customWidth="1"/>
    <col min="12803" max="12803" width="8.5703125" style="23" customWidth="1"/>
    <col min="12804" max="12804" width="9.5703125" style="23" customWidth="1"/>
    <col min="12805" max="12805" width="1.42578125" style="23" customWidth="1"/>
    <col min="12806" max="12806" width="12.140625" style="23" customWidth="1"/>
    <col min="12807" max="12807" width="1.28515625" style="23" customWidth="1"/>
    <col min="12808" max="12808" width="12.5703125" style="23" customWidth="1"/>
    <col min="12809" max="12809" width="1.7109375" style="23" customWidth="1"/>
    <col min="12810" max="12810" width="15.140625" style="23" customWidth="1"/>
    <col min="12811" max="12811" width="11" style="23" customWidth="1"/>
    <col min="12812" max="12812" width="1" style="23" customWidth="1"/>
    <col min="12813" max="12813" width="18.140625" style="23" customWidth="1"/>
    <col min="12814" max="12814" width="12.28515625" style="23" customWidth="1"/>
    <col min="12815" max="12815" width="6.140625" style="23" customWidth="1"/>
    <col min="12816" max="12816" width="5.28515625" style="23" customWidth="1"/>
    <col min="12817" max="12817" width="2.140625" style="23" customWidth="1"/>
    <col min="12818" max="13056" width="9.140625" style="23"/>
    <col min="13057" max="13057" width="2" style="23" customWidth="1"/>
    <col min="13058" max="13058" width="20.28515625" style="23" customWidth="1"/>
    <col min="13059" max="13059" width="8.5703125" style="23" customWidth="1"/>
    <col min="13060" max="13060" width="9.5703125" style="23" customWidth="1"/>
    <col min="13061" max="13061" width="1.42578125" style="23" customWidth="1"/>
    <col min="13062" max="13062" width="12.140625" style="23" customWidth="1"/>
    <col min="13063" max="13063" width="1.28515625" style="23" customWidth="1"/>
    <col min="13064" max="13064" width="12.5703125" style="23" customWidth="1"/>
    <col min="13065" max="13065" width="1.7109375" style="23" customWidth="1"/>
    <col min="13066" max="13066" width="15.140625" style="23" customWidth="1"/>
    <col min="13067" max="13067" width="11" style="23" customWidth="1"/>
    <col min="13068" max="13068" width="1" style="23" customWidth="1"/>
    <col min="13069" max="13069" width="18.140625" style="23" customWidth="1"/>
    <col min="13070" max="13070" width="12.28515625" style="23" customWidth="1"/>
    <col min="13071" max="13071" width="6.140625" style="23" customWidth="1"/>
    <col min="13072" max="13072" width="5.28515625" style="23" customWidth="1"/>
    <col min="13073" max="13073" width="2.140625" style="23" customWidth="1"/>
    <col min="13074" max="13312" width="9.140625" style="23"/>
    <col min="13313" max="13313" width="2" style="23" customWidth="1"/>
    <col min="13314" max="13314" width="20.28515625" style="23" customWidth="1"/>
    <col min="13315" max="13315" width="8.5703125" style="23" customWidth="1"/>
    <col min="13316" max="13316" width="9.5703125" style="23" customWidth="1"/>
    <col min="13317" max="13317" width="1.42578125" style="23" customWidth="1"/>
    <col min="13318" max="13318" width="12.140625" style="23" customWidth="1"/>
    <col min="13319" max="13319" width="1.28515625" style="23" customWidth="1"/>
    <col min="13320" max="13320" width="12.5703125" style="23" customWidth="1"/>
    <col min="13321" max="13321" width="1.7109375" style="23" customWidth="1"/>
    <col min="13322" max="13322" width="15.140625" style="23" customWidth="1"/>
    <col min="13323" max="13323" width="11" style="23" customWidth="1"/>
    <col min="13324" max="13324" width="1" style="23" customWidth="1"/>
    <col min="13325" max="13325" width="18.140625" style="23" customWidth="1"/>
    <col min="13326" max="13326" width="12.28515625" style="23" customWidth="1"/>
    <col min="13327" max="13327" width="6.140625" style="23" customWidth="1"/>
    <col min="13328" max="13328" width="5.28515625" style="23" customWidth="1"/>
    <col min="13329" max="13329" width="2.140625" style="23" customWidth="1"/>
    <col min="13330" max="13568" width="9.140625" style="23"/>
    <col min="13569" max="13569" width="2" style="23" customWidth="1"/>
    <col min="13570" max="13570" width="20.28515625" style="23" customWidth="1"/>
    <col min="13571" max="13571" width="8.5703125" style="23" customWidth="1"/>
    <col min="13572" max="13572" width="9.5703125" style="23" customWidth="1"/>
    <col min="13573" max="13573" width="1.42578125" style="23" customWidth="1"/>
    <col min="13574" max="13574" width="12.140625" style="23" customWidth="1"/>
    <col min="13575" max="13575" width="1.28515625" style="23" customWidth="1"/>
    <col min="13576" max="13576" width="12.5703125" style="23" customWidth="1"/>
    <col min="13577" max="13577" width="1.7109375" style="23" customWidth="1"/>
    <col min="13578" max="13578" width="15.140625" style="23" customWidth="1"/>
    <col min="13579" max="13579" width="11" style="23" customWidth="1"/>
    <col min="13580" max="13580" width="1" style="23" customWidth="1"/>
    <col min="13581" max="13581" width="18.140625" style="23" customWidth="1"/>
    <col min="13582" max="13582" width="12.28515625" style="23" customWidth="1"/>
    <col min="13583" max="13583" width="6.140625" style="23" customWidth="1"/>
    <col min="13584" max="13584" width="5.28515625" style="23" customWidth="1"/>
    <col min="13585" max="13585" width="2.140625" style="23" customWidth="1"/>
    <col min="13586" max="13824" width="9.140625" style="23"/>
    <col min="13825" max="13825" width="2" style="23" customWidth="1"/>
    <col min="13826" max="13826" width="20.28515625" style="23" customWidth="1"/>
    <col min="13827" max="13827" width="8.5703125" style="23" customWidth="1"/>
    <col min="13828" max="13828" width="9.5703125" style="23" customWidth="1"/>
    <col min="13829" max="13829" width="1.42578125" style="23" customWidth="1"/>
    <col min="13830" max="13830" width="12.140625" style="23" customWidth="1"/>
    <col min="13831" max="13831" width="1.28515625" style="23" customWidth="1"/>
    <col min="13832" max="13832" width="12.5703125" style="23" customWidth="1"/>
    <col min="13833" max="13833" width="1.7109375" style="23" customWidth="1"/>
    <col min="13834" max="13834" width="15.140625" style="23" customWidth="1"/>
    <col min="13835" max="13835" width="11" style="23" customWidth="1"/>
    <col min="13836" max="13836" width="1" style="23" customWidth="1"/>
    <col min="13837" max="13837" width="18.140625" style="23" customWidth="1"/>
    <col min="13838" max="13838" width="12.28515625" style="23" customWidth="1"/>
    <col min="13839" max="13839" width="6.140625" style="23" customWidth="1"/>
    <col min="13840" max="13840" width="5.28515625" style="23" customWidth="1"/>
    <col min="13841" max="13841" width="2.140625" style="23" customWidth="1"/>
    <col min="13842" max="14080" width="9.140625" style="23"/>
    <col min="14081" max="14081" width="2" style="23" customWidth="1"/>
    <col min="14082" max="14082" width="20.28515625" style="23" customWidth="1"/>
    <col min="14083" max="14083" width="8.5703125" style="23" customWidth="1"/>
    <col min="14084" max="14084" width="9.5703125" style="23" customWidth="1"/>
    <col min="14085" max="14085" width="1.42578125" style="23" customWidth="1"/>
    <col min="14086" max="14086" width="12.140625" style="23" customWidth="1"/>
    <col min="14087" max="14087" width="1.28515625" style="23" customWidth="1"/>
    <col min="14088" max="14088" width="12.5703125" style="23" customWidth="1"/>
    <col min="14089" max="14089" width="1.7109375" style="23" customWidth="1"/>
    <col min="14090" max="14090" width="15.140625" style="23" customWidth="1"/>
    <col min="14091" max="14091" width="11" style="23" customWidth="1"/>
    <col min="14092" max="14092" width="1" style="23" customWidth="1"/>
    <col min="14093" max="14093" width="18.140625" style="23" customWidth="1"/>
    <col min="14094" max="14094" width="12.28515625" style="23" customWidth="1"/>
    <col min="14095" max="14095" width="6.140625" style="23" customWidth="1"/>
    <col min="14096" max="14096" width="5.28515625" style="23" customWidth="1"/>
    <col min="14097" max="14097" width="2.140625" style="23" customWidth="1"/>
    <col min="14098" max="14336" width="9.140625" style="23"/>
    <col min="14337" max="14337" width="2" style="23" customWidth="1"/>
    <col min="14338" max="14338" width="20.28515625" style="23" customWidth="1"/>
    <col min="14339" max="14339" width="8.5703125" style="23" customWidth="1"/>
    <col min="14340" max="14340" width="9.5703125" style="23" customWidth="1"/>
    <col min="14341" max="14341" width="1.42578125" style="23" customWidth="1"/>
    <col min="14342" max="14342" width="12.140625" style="23" customWidth="1"/>
    <col min="14343" max="14343" width="1.28515625" style="23" customWidth="1"/>
    <col min="14344" max="14344" width="12.5703125" style="23" customWidth="1"/>
    <col min="14345" max="14345" width="1.7109375" style="23" customWidth="1"/>
    <col min="14346" max="14346" width="15.140625" style="23" customWidth="1"/>
    <col min="14347" max="14347" width="11" style="23" customWidth="1"/>
    <col min="14348" max="14348" width="1" style="23" customWidth="1"/>
    <col min="14349" max="14349" width="18.140625" style="23" customWidth="1"/>
    <col min="14350" max="14350" width="12.28515625" style="23" customWidth="1"/>
    <col min="14351" max="14351" width="6.140625" style="23" customWidth="1"/>
    <col min="14352" max="14352" width="5.28515625" style="23" customWidth="1"/>
    <col min="14353" max="14353" width="2.140625" style="23" customWidth="1"/>
    <col min="14354" max="14592" width="9.140625" style="23"/>
    <col min="14593" max="14593" width="2" style="23" customWidth="1"/>
    <col min="14594" max="14594" width="20.28515625" style="23" customWidth="1"/>
    <col min="14595" max="14595" width="8.5703125" style="23" customWidth="1"/>
    <col min="14596" max="14596" width="9.5703125" style="23" customWidth="1"/>
    <col min="14597" max="14597" width="1.42578125" style="23" customWidth="1"/>
    <col min="14598" max="14598" width="12.140625" style="23" customWidth="1"/>
    <col min="14599" max="14599" width="1.28515625" style="23" customWidth="1"/>
    <col min="14600" max="14600" width="12.5703125" style="23" customWidth="1"/>
    <col min="14601" max="14601" width="1.7109375" style="23" customWidth="1"/>
    <col min="14602" max="14602" width="15.140625" style="23" customWidth="1"/>
    <col min="14603" max="14603" width="11" style="23" customWidth="1"/>
    <col min="14604" max="14604" width="1" style="23" customWidth="1"/>
    <col min="14605" max="14605" width="18.140625" style="23" customWidth="1"/>
    <col min="14606" max="14606" width="12.28515625" style="23" customWidth="1"/>
    <col min="14607" max="14607" width="6.140625" style="23" customWidth="1"/>
    <col min="14608" max="14608" width="5.28515625" style="23" customWidth="1"/>
    <col min="14609" max="14609" width="2.140625" style="23" customWidth="1"/>
    <col min="14610" max="14848" width="9.140625" style="23"/>
    <col min="14849" max="14849" width="2" style="23" customWidth="1"/>
    <col min="14850" max="14850" width="20.28515625" style="23" customWidth="1"/>
    <col min="14851" max="14851" width="8.5703125" style="23" customWidth="1"/>
    <col min="14852" max="14852" width="9.5703125" style="23" customWidth="1"/>
    <col min="14853" max="14853" width="1.42578125" style="23" customWidth="1"/>
    <col min="14854" max="14854" width="12.140625" style="23" customWidth="1"/>
    <col min="14855" max="14855" width="1.28515625" style="23" customWidth="1"/>
    <col min="14856" max="14856" width="12.5703125" style="23" customWidth="1"/>
    <col min="14857" max="14857" width="1.7109375" style="23" customWidth="1"/>
    <col min="14858" max="14858" width="15.140625" style="23" customWidth="1"/>
    <col min="14859" max="14859" width="11" style="23" customWidth="1"/>
    <col min="14860" max="14860" width="1" style="23" customWidth="1"/>
    <col min="14861" max="14861" width="18.140625" style="23" customWidth="1"/>
    <col min="14862" max="14862" width="12.28515625" style="23" customWidth="1"/>
    <col min="14863" max="14863" width="6.140625" style="23" customWidth="1"/>
    <col min="14864" max="14864" width="5.28515625" style="23" customWidth="1"/>
    <col min="14865" max="14865" width="2.140625" style="23" customWidth="1"/>
    <col min="14866" max="15104" width="9.140625" style="23"/>
    <col min="15105" max="15105" width="2" style="23" customWidth="1"/>
    <col min="15106" max="15106" width="20.28515625" style="23" customWidth="1"/>
    <col min="15107" max="15107" width="8.5703125" style="23" customWidth="1"/>
    <col min="15108" max="15108" width="9.5703125" style="23" customWidth="1"/>
    <col min="15109" max="15109" width="1.42578125" style="23" customWidth="1"/>
    <col min="15110" max="15110" width="12.140625" style="23" customWidth="1"/>
    <col min="15111" max="15111" width="1.28515625" style="23" customWidth="1"/>
    <col min="15112" max="15112" width="12.5703125" style="23" customWidth="1"/>
    <col min="15113" max="15113" width="1.7109375" style="23" customWidth="1"/>
    <col min="15114" max="15114" width="15.140625" style="23" customWidth="1"/>
    <col min="15115" max="15115" width="11" style="23" customWidth="1"/>
    <col min="15116" max="15116" width="1" style="23" customWidth="1"/>
    <col min="15117" max="15117" width="18.140625" style="23" customWidth="1"/>
    <col min="15118" max="15118" width="12.28515625" style="23" customWidth="1"/>
    <col min="15119" max="15119" width="6.140625" style="23" customWidth="1"/>
    <col min="15120" max="15120" width="5.28515625" style="23" customWidth="1"/>
    <col min="15121" max="15121" width="2.140625" style="23" customWidth="1"/>
    <col min="15122" max="15360" width="9.140625" style="23"/>
    <col min="15361" max="15361" width="2" style="23" customWidth="1"/>
    <col min="15362" max="15362" width="20.28515625" style="23" customWidth="1"/>
    <col min="15363" max="15363" width="8.5703125" style="23" customWidth="1"/>
    <col min="15364" max="15364" width="9.5703125" style="23" customWidth="1"/>
    <col min="15365" max="15365" width="1.42578125" style="23" customWidth="1"/>
    <col min="15366" max="15366" width="12.140625" style="23" customWidth="1"/>
    <col min="15367" max="15367" width="1.28515625" style="23" customWidth="1"/>
    <col min="15368" max="15368" width="12.5703125" style="23" customWidth="1"/>
    <col min="15369" max="15369" width="1.7109375" style="23" customWidth="1"/>
    <col min="15370" max="15370" width="15.140625" style="23" customWidth="1"/>
    <col min="15371" max="15371" width="11" style="23" customWidth="1"/>
    <col min="15372" max="15372" width="1" style="23" customWidth="1"/>
    <col min="15373" max="15373" width="18.140625" style="23" customWidth="1"/>
    <col min="15374" max="15374" width="12.28515625" style="23" customWidth="1"/>
    <col min="15375" max="15375" width="6.140625" style="23" customWidth="1"/>
    <col min="15376" max="15376" width="5.28515625" style="23" customWidth="1"/>
    <col min="15377" max="15377" width="2.140625" style="23" customWidth="1"/>
    <col min="15378" max="15616" width="9.140625" style="23"/>
    <col min="15617" max="15617" width="2" style="23" customWidth="1"/>
    <col min="15618" max="15618" width="20.28515625" style="23" customWidth="1"/>
    <col min="15619" max="15619" width="8.5703125" style="23" customWidth="1"/>
    <col min="15620" max="15620" width="9.5703125" style="23" customWidth="1"/>
    <col min="15621" max="15621" width="1.42578125" style="23" customWidth="1"/>
    <col min="15622" max="15622" width="12.140625" style="23" customWidth="1"/>
    <col min="15623" max="15623" width="1.28515625" style="23" customWidth="1"/>
    <col min="15624" max="15624" width="12.5703125" style="23" customWidth="1"/>
    <col min="15625" max="15625" width="1.7109375" style="23" customWidth="1"/>
    <col min="15626" max="15626" width="15.140625" style="23" customWidth="1"/>
    <col min="15627" max="15627" width="11" style="23" customWidth="1"/>
    <col min="15628" max="15628" width="1" style="23" customWidth="1"/>
    <col min="15629" max="15629" width="18.140625" style="23" customWidth="1"/>
    <col min="15630" max="15630" width="12.28515625" style="23" customWidth="1"/>
    <col min="15631" max="15631" width="6.140625" style="23" customWidth="1"/>
    <col min="15632" max="15632" width="5.28515625" style="23" customWidth="1"/>
    <col min="15633" max="15633" width="2.140625" style="23" customWidth="1"/>
    <col min="15634" max="15872" width="9.140625" style="23"/>
    <col min="15873" max="15873" width="2" style="23" customWidth="1"/>
    <col min="15874" max="15874" width="20.28515625" style="23" customWidth="1"/>
    <col min="15875" max="15875" width="8.5703125" style="23" customWidth="1"/>
    <col min="15876" max="15876" width="9.5703125" style="23" customWidth="1"/>
    <col min="15877" max="15877" width="1.42578125" style="23" customWidth="1"/>
    <col min="15878" max="15878" width="12.140625" style="23" customWidth="1"/>
    <col min="15879" max="15879" width="1.28515625" style="23" customWidth="1"/>
    <col min="15880" max="15880" width="12.5703125" style="23" customWidth="1"/>
    <col min="15881" max="15881" width="1.7109375" style="23" customWidth="1"/>
    <col min="15882" max="15882" width="15.140625" style="23" customWidth="1"/>
    <col min="15883" max="15883" width="11" style="23" customWidth="1"/>
    <col min="15884" max="15884" width="1" style="23" customWidth="1"/>
    <col min="15885" max="15885" width="18.140625" style="23" customWidth="1"/>
    <col min="15886" max="15886" width="12.28515625" style="23" customWidth="1"/>
    <col min="15887" max="15887" width="6.140625" style="23" customWidth="1"/>
    <col min="15888" max="15888" width="5.28515625" style="23" customWidth="1"/>
    <col min="15889" max="15889" width="2.140625" style="23" customWidth="1"/>
    <col min="15890" max="16128" width="9.140625" style="23"/>
    <col min="16129" max="16129" width="2" style="23" customWidth="1"/>
    <col min="16130" max="16130" width="20.28515625" style="23" customWidth="1"/>
    <col min="16131" max="16131" width="8.5703125" style="23" customWidth="1"/>
    <col min="16132" max="16132" width="9.5703125" style="23" customWidth="1"/>
    <col min="16133" max="16133" width="1.42578125" style="23" customWidth="1"/>
    <col min="16134" max="16134" width="12.140625" style="23" customWidth="1"/>
    <col min="16135" max="16135" width="1.28515625" style="23" customWidth="1"/>
    <col min="16136" max="16136" width="12.5703125" style="23" customWidth="1"/>
    <col min="16137" max="16137" width="1.7109375" style="23" customWidth="1"/>
    <col min="16138" max="16138" width="15.140625" style="23" customWidth="1"/>
    <col min="16139" max="16139" width="11" style="23" customWidth="1"/>
    <col min="16140" max="16140" width="1" style="23" customWidth="1"/>
    <col min="16141" max="16141" width="18.140625" style="23" customWidth="1"/>
    <col min="16142" max="16142" width="12.28515625" style="23" customWidth="1"/>
    <col min="16143" max="16143" width="6.140625" style="23" customWidth="1"/>
    <col min="16144" max="16144" width="5.28515625" style="23" customWidth="1"/>
    <col min="16145" max="16145" width="2.140625" style="23" customWidth="1"/>
    <col min="16146" max="16384" width="9.140625" style="23"/>
  </cols>
  <sheetData>
    <row r="1" spans="1:23" ht="8.1" customHeight="1" x14ac:dyDescent="0.2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</row>
    <row r="2" spans="1:23" ht="20.25" x14ac:dyDescent="0.3">
      <c r="A2" s="79"/>
      <c r="B2" s="79"/>
      <c r="C2" s="123" t="s">
        <v>124</v>
      </c>
      <c r="D2" s="123"/>
      <c r="E2" s="123"/>
      <c r="F2" s="123"/>
      <c r="G2" s="123"/>
      <c r="H2" s="123"/>
      <c r="I2" s="123"/>
      <c r="J2" s="123"/>
      <c r="K2" s="123"/>
      <c r="L2" s="123"/>
      <c r="M2" s="79"/>
      <c r="N2" s="80" t="s">
        <v>125</v>
      </c>
      <c r="O2" s="81"/>
      <c r="P2" s="79"/>
      <c r="Q2" s="79"/>
      <c r="R2" s="79"/>
      <c r="S2" s="78"/>
      <c r="T2" s="78"/>
      <c r="U2" s="78"/>
      <c r="V2" s="78"/>
      <c r="W2" s="78"/>
    </row>
    <row r="3" spans="1:23" ht="8.1" customHeight="1" x14ac:dyDescent="0.2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</row>
    <row r="4" spans="1:23" ht="15.75" x14ac:dyDescent="0.25">
      <c r="A4" s="78"/>
      <c r="B4" s="78"/>
      <c r="C4" s="124" t="s">
        <v>126</v>
      </c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78"/>
      <c r="R4" s="78"/>
      <c r="S4" s="78"/>
      <c r="T4" s="78"/>
      <c r="U4" s="78"/>
      <c r="V4" s="78"/>
      <c r="W4" s="78"/>
    </row>
    <row r="5" spans="1:23" ht="9.9499999999999993" customHeight="1" x14ac:dyDescent="0.25">
      <c r="A5" s="78"/>
      <c r="B5" s="78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78"/>
      <c r="R5" s="78"/>
      <c r="S5" s="78"/>
      <c r="T5" s="78"/>
      <c r="U5" s="78"/>
      <c r="V5" s="78"/>
      <c r="W5" s="78"/>
    </row>
    <row r="6" spans="1:23" ht="15.75" x14ac:dyDescent="0.25">
      <c r="A6" s="78"/>
      <c r="B6" s="78"/>
      <c r="C6" s="83" t="s">
        <v>127</v>
      </c>
      <c r="D6" s="82"/>
      <c r="E6" s="125" t="s">
        <v>128</v>
      </c>
      <c r="F6" s="125"/>
      <c r="G6" s="125"/>
      <c r="H6" s="125"/>
      <c r="I6" s="125"/>
      <c r="J6" s="125"/>
      <c r="K6" s="125"/>
      <c r="L6" s="82"/>
      <c r="M6" s="82"/>
      <c r="N6" s="82"/>
      <c r="O6" s="82"/>
      <c r="P6" s="82"/>
      <c r="Q6" s="78"/>
      <c r="R6" s="78"/>
      <c r="S6" s="78"/>
      <c r="T6" s="78"/>
      <c r="U6" s="78"/>
      <c r="V6" s="78"/>
      <c r="W6" s="78"/>
    </row>
    <row r="7" spans="1:23" ht="8.1" customHeight="1" x14ac:dyDescent="0.2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</row>
    <row r="8" spans="1:23" x14ac:dyDescent="0.2">
      <c r="A8" s="78"/>
      <c r="B8" s="84" t="s">
        <v>129</v>
      </c>
      <c r="C8" s="109" t="s">
        <v>130</v>
      </c>
      <c r="D8" s="109"/>
      <c r="E8" s="78"/>
      <c r="F8" s="84" t="s">
        <v>131</v>
      </c>
      <c r="G8" s="78"/>
      <c r="H8" s="85">
        <v>1</v>
      </c>
      <c r="I8" s="78"/>
      <c r="J8" s="78" t="s">
        <v>132</v>
      </c>
      <c r="K8" s="86">
        <v>42654</v>
      </c>
      <c r="L8" s="78"/>
      <c r="M8" s="78" t="s">
        <v>133</v>
      </c>
      <c r="N8" s="86"/>
      <c r="O8" s="87"/>
      <c r="P8" s="87"/>
      <c r="Q8" s="78"/>
      <c r="R8" s="78"/>
      <c r="S8" s="78"/>
      <c r="T8" s="78"/>
      <c r="U8" s="78"/>
      <c r="V8" s="78"/>
      <c r="W8" s="78"/>
    </row>
    <row r="9" spans="1:23" ht="8.1" customHeight="1" x14ac:dyDescent="0.2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</row>
    <row r="10" spans="1:23" x14ac:dyDescent="0.2">
      <c r="A10" s="78"/>
      <c r="B10" s="84" t="s">
        <v>134</v>
      </c>
      <c r="C10" s="109" t="s">
        <v>135</v>
      </c>
      <c r="D10" s="109"/>
      <c r="E10" s="78"/>
      <c r="F10" s="84" t="s">
        <v>131</v>
      </c>
      <c r="G10" s="78"/>
      <c r="H10" s="85"/>
      <c r="I10" s="78"/>
      <c r="J10" s="78" t="s">
        <v>132</v>
      </c>
      <c r="K10" s="86"/>
      <c r="L10" s="78"/>
      <c r="M10" s="78" t="s">
        <v>133</v>
      </c>
      <c r="N10" s="86">
        <v>42940</v>
      </c>
      <c r="O10" s="87"/>
      <c r="P10" s="87"/>
      <c r="Q10" s="78"/>
      <c r="R10" s="78"/>
      <c r="S10" s="78"/>
      <c r="T10" s="78"/>
      <c r="U10" s="78"/>
      <c r="V10" s="78"/>
      <c r="W10" s="78"/>
    </row>
    <row r="11" spans="1:23" ht="8.1" customHeight="1" x14ac:dyDescent="0.2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</row>
    <row r="12" spans="1:23" x14ac:dyDescent="0.2">
      <c r="A12" s="78"/>
      <c r="B12" s="84" t="s">
        <v>136</v>
      </c>
      <c r="C12" s="109" t="s">
        <v>137</v>
      </c>
      <c r="D12" s="109"/>
      <c r="E12" s="78"/>
      <c r="F12" s="78"/>
      <c r="G12" s="78"/>
      <c r="H12" s="84" t="s">
        <v>138</v>
      </c>
      <c r="I12" s="109" t="s">
        <v>139</v>
      </c>
      <c r="J12" s="109"/>
      <c r="K12" s="109"/>
      <c r="L12" s="78"/>
      <c r="M12" s="84" t="s">
        <v>140</v>
      </c>
      <c r="N12" s="88">
        <v>42790</v>
      </c>
      <c r="O12" s="87"/>
      <c r="P12" s="87"/>
      <c r="Q12" s="78"/>
      <c r="R12" s="78"/>
      <c r="S12" s="78"/>
      <c r="T12" s="78"/>
      <c r="U12" s="78"/>
      <c r="V12" s="78"/>
      <c r="W12" s="78"/>
    </row>
    <row r="13" spans="1:23" ht="8.1" customHeight="1" x14ac:dyDescent="0.2">
      <c r="A13" s="78"/>
      <c r="B13" s="84"/>
      <c r="C13" s="89"/>
      <c r="D13" s="89"/>
      <c r="E13" s="78"/>
      <c r="F13" s="78"/>
      <c r="G13" s="78"/>
      <c r="H13" s="84"/>
      <c r="I13" s="89"/>
      <c r="J13" s="89"/>
      <c r="K13" s="89"/>
      <c r="L13" s="78"/>
      <c r="M13" s="84"/>
      <c r="N13" s="90"/>
      <c r="O13" s="78"/>
      <c r="P13" s="78"/>
      <c r="Q13" s="78"/>
      <c r="R13" s="78"/>
      <c r="S13" s="78"/>
      <c r="T13" s="78"/>
      <c r="U13" s="78"/>
      <c r="V13" s="78"/>
      <c r="W13" s="78"/>
    </row>
    <row r="14" spans="1:23" x14ac:dyDescent="0.2">
      <c r="A14" s="78"/>
      <c r="B14" s="84" t="s">
        <v>141</v>
      </c>
      <c r="C14" s="121" t="s">
        <v>142</v>
      </c>
      <c r="D14" s="109"/>
      <c r="E14" s="78"/>
      <c r="F14" s="78"/>
      <c r="G14" s="78"/>
      <c r="H14" s="84" t="s">
        <v>143</v>
      </c>
      <c r="I14" s="122" t="s">
        <v>144</v>
      </c>
      <c r="J14" s="122"/>
      <c r="K14" s="122"/>
      <c r="L14" s="122"/>
      <c r="M14" s="122"/>
      <c r="N14" s="122"/>
      <c r="O14" s="122"/>
      <c r="P14" s="122"/>
      <c r="Q14" s="78"/>
      <c r="R14" s="78"/>
      <c r="S14" s="78"/>
      <c r="T14" s="78"/>
      <c r="U14" s="78"/>
      <c r="V14" s="78"/>
      <c r="W14" s="78"/>
    </row>
    <row r="15" spans="1:23" ht="8.1" customHeight="1" x14ac:dyDescent="0.2">
      <c r="A15" s="78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</row>
    <row r="16" spans="1:23" x14ac:dyDescent="0.2">
      <c r="A16" s="78"/>
      <c r="B16" s="84" t="s">
        <v>145</v>
      </c>
      <c r="C16" s="121" t="s">
        <v>146</v>
      </c>
      <c r="D16" s="109"/>
      <c r="E16" s="78"/>
      <c r="F16" s="84" t="s">
        <v>147</v>
      </c>
      <c r="G16" s="78"/>
      <c r="H16" s="122" t="s">
        <v>148</v>
      </c>
      <c r="I16" s="122"/>
      <c r="J16" s="122"/>
      <c r="K16" s="122"/>
      <c r="L16" s="122"/>
      <c r="M16" s="122"/>
      <c r="N16" s="122"/>
      <c r="O16" s="87"/>
      <c r="P16" s="87"/>
      <c r="Q16" s="78"/>
      <c r="R16" s="78"/>
      <c r="S16" s="78"/>
      <c r="T16" s="78"/>
      <c r="U16" s="78"/>
      <c r="V16" s="78"/>
      <c r="W16" s="78"/>
    </row>
    <row r="17" spans="1:23" ht="8.1" customHeight="1" x14ac:dyDescent="0.2">
      <c r="A17" s="78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</row>
    <row r="18" spans="1:23" x14ac:dyDescent="0.2">
      <c r="A18" s="78"/>
      <c r="B18" s="84" t="s">
        <v>149</v>
      </c>
      <c r="C18" s="109" t="s">
        <v>150</v>
      </c>
      <c r="D18" s="109"/>
      <c r="E18" s="78"/>
      <c r="F18" s="84" t="s">
        <v>151</v>
      </c>
      <c r="G18" s="78"/>
      <c r="H18" s="122" t="s">
        <v>152</v>
      </c>
      <c r="I18" s="122"/>
      <c r="J18" s="122"/>
      <c r="K18" s="122"/>
      <c r="L18" s="122"/>
      <c r="M18" s="122"/>
      <c r="N18" s="122"/>
      <c r="O18" s="87"/>
      <c r="P18" s="87"/>
      <c r="Q18" s="78"/>
      <c r="R18" s="78"/>
      <c r="S18" s="78"/>
      <c r="T18" s="78"/>
      <c r="U18" s="78"/>
      <c r="V18" s="78"/>
      <c r="W18" s="78"/>
    </row>
    <row r="19" spans="1:23" ht="8.1" customHeight="1" x14ac:dyDescent="0.2">
      <c r="A19" s="78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</row>
    <row r="20" spans="1:23" x14ac:dyDescent="0.2">
      <c r="A20" s="78"/>
      <c r="B20" s="84" t="s">
        <v>153</v>
      </c>
      <c r="C20" s="109" t="s">
        <v>154</v>
      </c>
      <c r="D20" s="109"/>
      <c r="E20" s="78"/>
      <c r="F20" s="84" t="s">
        <v>155</v>
      </c>
      <c r="G20" s="78"/>
      <c r="H20" s="91">
        <v>2476638663</v>
      </c>
      <c r="I20" s="78"/>
      <c r="J20" s="78"/>
      <c r="K20" s="84" t="s">
        <v>156</v>
      </c>
      <c r="L20" s="109" t="s">
        <v>142</v>
      </c>
      <c r="M20" s="109"/>
      <c r="N20" s="109"/>
      <c r="O20" s="87"/>
      <c r="P20" s="87"/>
      <c r="Q20" s="78"/>
      <c r="R20" s="78"/>
      <c r="S20" s="78"/>
      <c r="T20" s="78"/>
      <c r="U20" s="78"/>
      <c r="V20" s="78"/>
      <c r="W20" s="78"/>
    </row>
    <row r="21" spans="1:23" ht="8.1" customHeight="1" x14ac:dyDescent="0.2">
      <c r="A21" s="78"/>
      <c r="B21" s="78"/>
      <c r="C21" s="78"/>
      <c r="D21" s="78"/>
      <c r="E21" s="78"/>
      <c r="F21" s="78"/>
      <c r="G21" s="78"/>
      <c r="H21" s="78"/>
      <c r="I21" s="78"/>
      <c r="J21" s="78"/>
      <c r="K21" s="84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</row>
    <row r="22" spans="1:23" x14ac:dyDescent="0.2">
      <c r="A22" s="78"/>
      <c r="B22" s="84" t="s">
        <v>157</v>
      </c>
      <c r="C22" s="109" t="s">
        <v>158</v>
      </c>
      <c r="D22" s="109"/>
      <c r="E22" s="78"/>
      <c r="F22" s="84" t="s">
        <v>159</v>
      </c>
      <c r="G22" s="78"/>
      <c r="H22" s="91" t="s">
        <v>160</v>
      </c>
      <c r="I22" s="78"/>
      <c r="J22" s="78"/>
      <c r="K22" s="84" t="s">
        <v>161</v>
      </c>
      <c r="L22" s="109" t="s">
        <v>162</v>
      </c>
      <c r="M22" s="109"/>
      <c r="N22" s="109"/>
      <c r="O22" s="109"/>
      <c r="P22" s="109"/>
      <c r="Q22" s="78"/>
      <c r="R22" s="78"/>
      <c r="S22" s="78"/>
      <c r="T22" s="78"/>
      <c r="U22" s="78"/>
      <c r="V22" s="78"/>
      <c r="W22" s="78"/>
    </row>
    <row r="23" spans="1:23" ht="8.1" customHeight="1" x14ac:dyDescent="0.2">
      <c r="A23" s="78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</row>
    <row r="24" spans="1:23" x14ac:dyDescent="0.2">
      <c r="A24" s="78"/>
      <c r="B24" s="78"/>
      <c r="C24" s="84" t="s">
        <v>163</v>
      </c>
      <c r="D24" s="108"/>
      <c r="E24" s="109"/>
      <c r="F24" s="109"/>
      <c r="G24" s="78"/>
      <c r="H24" s="78"/>
      <c r="I24" s="78"/>
      <c r="J24" s="78"/>
      <c r="K24" s="84" t="s">
        <v>164</v>
      </c>
      <c r="L24" s="78"/>
      <c r="M24" s="109"/>
      <c r="N24" s="109"/>
      <c r="O24" s="109"/>
      <c r="P24" s="109"/>
      <c r="Q24" s="78"/>
      <c r="R24" s="78"/>
      <c r="S24" s="78"/>
      <c r="T24" s="78"/>
      <c r="U24" s="78"/>
      <c r="V24" s="78"/>
      <c r="W24" s="78"/>
    </row>
    <row r="25" spans="1:23" ht="8.1" customHeight="1" x14ac:dyDescent="0.2">
      <c r="A25" s="78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</row>
    <row r="26" spans="1:23" x14ac:dyDescent="0.2">
      <c r="A26" s="78"/>
      <c r="B26" s="78"/>
      <c r="C26" s="84" t="s">
        <v>165</v>
      </c>
      <c r="D26" s="108"/>
      <c r="E26" s="109"/>
      <c r="F26" s="109"/>
      <c r="G26" s="78"/>
      <c r="H26" s="78"/>
      <c r="I26" s="78"/>
      <c r="J26" s="78"/>
      <c r="K26" s="84" t="s">
        <v>166</v>
      </c>
      <c r="L26" s="78"/>
      <c r="M26" s="110"/>
      <c r="N26" s="110"/>
      <c r="O26" s="110"/>
      <c r="P26" s="110"/>
      <c r="Q26" s="78"/>
      <c r="R26" s="78"/>
      <c r="S26" s="78"/>
      <c r="T26" s="78"/>
      <c r="U26" s="78"/>
      <c r="V26" s="78"/>
      <c r="W26" s="78"/>
    </row>
    <row r="27" spans="1:23" ht="8.1" customHeight="1" x14ac:dyDescent="0.2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</row>
    <row r="28" spans="1:23" ht="15.75" x14ac:dyDescent="0.25">
      <c r="A28" s="78"/>
      <c r="B28" s="92" t="s">
        <v>167</v>
      </c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</row>
    <row r="29" spans="1:23" ht="8.1" customHeight="1" x14ac:dyDescent="0.2">
      <c r="A29" s="78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</row>
    <row r="30" spans="1:23" x14ac:dyDescent="0.2">
      <c r="A30" s="78"/>
      <c r="B30" s="78"/>
      <c r="C30" s="111" t="s">
        <v>168</v>
      </c>
      <c r="D30" s="111"/>
      <c r="E30" s="111"/>
      <c r="F30" s="111"/>
      <c r="G30" s="111"/>
      <c r="H30" s="111"/>
      <c r="I30" s="111"/>
      <c r="J30" s="111" t="s">
        <v>169</v>
      </c>
      <c r="K30" s="111"/>
      <c r="L30" s="111"/>
      <c r="M30" s="111"/>
      <c r="N30" s="111"/>
      <c r="O30" s="78"/>
      <c r="P30" s="78"/>
      <c r="Q30" s="78"/>
      <c r="R30" s="78"/>
      <c r="S30" s="78"/>
      <c r="T30" s="78"/>
      <c r="U30" s="78"/>
      <c r="V30" s="78"/>
      <c r="W30" s="78"/>
    </row>
    <row r="31" spans="1:23" x14ac:dyDescent="0.2">
      <c r="A31" s="78"/>
      <c r="B31" s="78"/>
      <c r="C31" s="112" t="s">
        <v>170</v>
      </c>
      <c r="D31" s="114" t="s">
        <v>171</v>
      </c>
      <c r="E31" s="115"/>
      <c r="F31" s="114" t="s">
        <v>172</v>
      </c>
      <c r="G31" s="118"/>
      <c r="H31" s="114" t="s">
        <v>173</v>
      </c>
      <c r="I31" s="118"/>
      <c r="J31" s="102" t="s">
        <v>174</v>
      </c>
      <c r="K31" s="114" t="s">
        <v>175</v>
      </c>
      <c r="L31" s="118"/>
      <c r="M31" s="102" t="s">
        <v>176</v>
      </c>
      <c r="N31" s="102" t="s">
        <v>173</v>
      </c>
      <c r="O31" s="104" t="s">
        <v>177</v>
      </c>
      <c r="P31" s="105"/>
      <c r="Q31" s="78"/>
      <c r="R31" s="78"/>
      <c r="S31" s="78"/>
      <c r="T31" s="78"/>
      <c r="U31" s="78"/>
      <c r="V31" s="78"/>
      <c r="W31" s="78"/>
    </row>
    <row r="32" spans="1:23" x14ac:dyDescent="0.2">
      <c r="A32" s="78"/>
      <c r="B32" s="78"/>
      <c r="C32" s="113"/>
      <c r="D32" s="116"/>
      <c r="E32" s="117"/>
      <c r="F32" s="119"/>
      <c r="G32" s="120"/>
      <c r="H32" s="119"/>
      <c r="I32" s="120"/>
      <c r="J32" s="103"/>
      <c r="K32" s="119"/>
      <c r="L32" s="120"/>
      <c r="M32" s="103"/>
      <c r="N32" s="103"/>
      <c r="O32" s="106"/>
      <c r="P32" s="107"/>
      <c r="Q32" s="78"/>
      <c r="R32" s="78"/>
      <c r="S32" s="78"/>
      <c r="T32" s="78"/>
      <c r="U32" s="78"/>
      <c r="V32" s="78"/>
      <c r="W32" s="78"/>
    </row>
    <row r="33" spans="1:23" x14ac:dyDescent="0.2">
      <c r="A33" s="78"/>
      <c r="B33" s="93" t="s">
        <v>178</v>
      </c>
      <c r="C33" s="94" t="s">
        <v>179</v>
      </c>
      <c r="D33" s="100">
        <v>9</v>
      </c>
      <c r="E33" s="100"/>
      <c r="F33" s="100">
        <v>0</v>
      </c>
      <c r="G33" s="100"/>
      <c r="H33" s="100">
        <v>0</v>
      </c>
      <c r="I33" s="100"/>
      <c r="J33" s="95">
        <v>5</v>
      </c>
      <c r="K33" s="100">
        <v>8</v>
      </c>
      <c r="L33" s="100"/>
      <c r="M33" s="95">
        <v>4</v>
      </c>
      <c r="N33" s="95">
        <v>0</v>
      </c>
      <c r="O33" s="93" t="s">
        <v>180</v>
      </c>
      <c r="P33" s="93" t="s">
        <v>181</v>
      </c>
      <c r="Q33" s="78"/>
      <c r="R33" s="78"/>
      <c r="S33" s="78"/>
      <c r="T33" s="78"/>
      <c r="U33" s="78"/>
      <c r="V33" s="78"/>
      <c r="W33" s="78"/>
    </row>
    <row r="34" spans="1:23" x14ac:dyDescent="0.2">
      <c r="A34" s="78"/>
      <c r="B34" s="93" t="s">
        <v>182</v>
      </c>
      <c r="C34" s="94"/>
      <c r="D34" s="100">
        <v>9</v>
      </c>
      <c r="E34" s="100"/>
      <c r="F34" s="100">
        <v>2</v>
      </c>
      <c r="G34" s="100"/>
      <c r="H34" s="100">
        <v>2</v>
      </c>
      <c r="I34" s="100"/>
      <c r="J34" s="95">
        <v>7</v>
      </c>
      <c r="K34" s="100">
        <v>8</v>
      </c>
      <c r="L34" s="100"/>
      <c r="M34" s="95">
        <v>3</v>
      </c>
      <c r="N34" s="95">
        <v>3</v>
      </c>
      <c r="O34" s="93" t="s">
        <v>183</v>
      </c>
      <c r="P34" s="93" t="s">
        <v>184</v>
      </c>
      <c r="Q34" s="78"/>
      <c r="R34" s="78"/>
      <c r="S34" s="78"/>
      <c r="T34" s="78"/>
      <c r="U34" s="78"/>
      <c r="V34" s="78"/>
      <c r="W34" s="78"/>
    </row>
    <row r="35" spans="1:23" x14ac:dyDescent="0.2">
      <c r="A35" s="78"/>
      <c r="B35" s="93" t="s">
        <v>185</v>
      </c>
      <c r="C35" s="94"/>
      <c r="D35" s="101"/>
      <c r="E35" s="101"/>
      <c r="F35" s="101"/>
      <c r="G35" s="101"/>
      <c r="H35" s="101"/>
      <c r="I35" s="101"/>
      <c r="J35" s="96"/>
      <c r="K35" s="101"/>
      <c r="L35" s="101"/>
      <c r="M35" s="96"/>
      <c r="N35" s="96"/>
      <c r="O35" s="94" t="s">
        <v>180</v>
      </c>
      <c r="P35" s="94" t="s">
        <v>181</v>
      </c>
      <c r="Q35" s="78"/>
      <c r="R35" s="78"/>
      <c r="S35" s="78"/>
      <c r="T35" s="78"/>
      <c r="U35" s="78"/>
      <c r="V35" s="78"/>
      <c r="W35" s="78"/>
    </row>
    <row r="36" spans="1:23" x14ac:dyDescent="0.2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</row>
    <row r="37" spans="1:23" ht="15" x14ac:dyDescent="0.25">
      <c r="A37" s="78"/>
      <c r="B37" s="97" t="s">
        <v>186</v>
      </c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 t="s">
        <v>187</v>
      </c>
      <c r="U37" s="78"/>
      <c r="V37" s="78"/>
      <c r="W37" s="78"/>
    </row>
    <row r="38" spans="1:23" ht="6" customHeight="1" x14ac:dyDescent="0.2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</row>
    <row r="39" spans="1:23" x14ac:dyDescent="0.2">
      <c r="A39" s="78"/>
      <c r="B39" s="98" t="s">
        <v>188</v>
      </c>
      <c r="C39" s="99"/>
      <c r="D39" s="98" t="s">
        <v>189</v>
      </c>
      <c r="E39" s="98"/>
      <c r="F39" s="99" t="s">
        <v>179</v>
      </c>
      <c r="G39" s="98"/>
      <c r="H39" s="98" t="s">
        <v>190</v>
      </c>
      <c r="I39" s="98"/>
      <c r="J39" s="99"/>
      <c r="K39" s="98" t="s">
        <v>191</v>
      </c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</row>
    <row r="40" spans="1:23" x14ac:dyDescent="0.2">
      <c r="A40" s="78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</row>
    <row r="41" spans="1:23" x14ac:dyDescent="0.2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</row>
    <row r="42" spans="1:23" x14ac:dyDescent="0.2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</row>
    <row r="43" spans="1:23" x14ac:dyDescent="0.2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</row>
    <row r="44" spans="1:23" x14ac:dyDescent="0.2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</row>
    <row r="45" spans="1:23" x14ac:dyDescent="0.2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</row>
    <row r="46" spans="1:23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</row>
    <row r="47" spans="1:23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</row>
    <row r="48" spans="1:23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</row>
    <row r="49" spans="1:23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</row>
    <row r="50" spans="1:23" x14ac:dyDescent="0.2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</row>
    <row r="51" spans="1:23" x14ac:dyDescent="0.2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</row>
    <row r="52" spans="1:23" x14ac:dyDescent="0.2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</row>
    <row r="53" spans="1:23" x14ac:dyDescent="0.2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</row>
    <row r="54" spans="1:23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</row>
    <row r="55" spans="1:23" x14ac:dyDescent="0.2">
      <c r="A55" s="78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</row>
    <row r="56" spans="1:23" x14ac:dyDescent="0.2">
      <c r="A56" s="78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</row>
    <row r="57" spans="1:23" x14ac:dyDescent="0.2">
      <c r="A57" s="78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</row>
    <row r="58" spans="1:23" x14ac:dyDescent="0.2">
      <c r="A58" s="78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</row>
    <row r="59" spans="1:23" x14ac:dyDescent="0.2">
      <c r="A59" s="78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</row>
    <row r="60" spans="1:23" x14ac:dyDescent="0.2">
      <c r="A60" s="78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</row>
    <row r="61" spans="1:23" x14ac:dyDescent="0.2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</row>
    <row r="62" spans="1:23" x14ac:dyDescent="0.2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</row>
  </sheetData>
  <mergeCells count="44">
    <mergeCell ref="C12:D12"/>
    <mergeCell ref="I12:K12"/>
    <mergeCell ref="C2:L2"/>
    <mergeCell ref="C4:P4"/>
    <mergeCell ref="E6:K6"/>
    <mergeCell ref="C8:D8"/>
    <mergeCell ref="C10:D10"/>
    <mergeCell ref="C14:D14"/>
    <mergeCell ref="I14:P14"/>
    <mergeCell ref="C16:D16"/>
    <mergeCell ref="H16:N16"/>
    <mergeCell ref="C18:D18"/>
    <mergeCell ref="H18:N18"/>
    <mergeCell ref="C20:D20"/>
    <mergeCell ref="L20:N20"/>
    <mergeCell ref="C22:D22"/>
    <mergeCell ref="L22:P22"/>
    <mergeCell ref="D24:F24"/>
    <mergeCell ref="M24:P24"/>
    <mergeCell ref="D26:F26"/>
    <mergeCell ref="M26:P26"/>
    <mergeCell ref="C30:I30"/>
    <mergeCell ref="J30:N30"/>
    <mergeCell ref="C31:C32"/>
    <mergeCell ref="D31:E32"/>
    <mergeCell ref="F31:G32"/>
    <mergeCell ref="H31:I32"/>
    <mergeCell ref="J31:J32"/>
    <mergeCell ref="K31:L32"/>
    <mergeCell ref="M31:M32"/>
    <mergeCell ref="N31:N32"/>
    <mergeCell ref="O31:P32"/>
    <mergeCell ref="D33:E33"/>
    <mergeCell ref="F33:G33"/>
    <mergeCell ref="H33:I33"/>
    <mergeCell ref="K33:L33"/>
    <mergeCell ref="D34:E34"/>
    <mergeCell ref="F34:G34"/>
    <mergeCell ref="H34:I34"/>
    <mergeCell ref="K34:L34"/>
    <mergeCell ref="D35:E35"/>
    <mergeCell ref="F35:G35"/>
    <mergeCell ref="H35:I35"/>
    <mergeCell ref="K35:L35"/>
  </mergeCells>
  <pageMargins left="0.39370078740157483" right="0.19685039370078741" top="0.39370078740157483" bottom="0.39370078740157483" header="0.39370078740157483" footer="0.19685039370078741"/>
  <pageSetup paperSize="9" scale="96" orientation="landscape" horizontalDpi="4294967293" r:id="rId1"/>
  <headerFooter alignWithMargins="0">
    <oddFooter>&amp;R&amp;F&amp;LUNIPART POWERTRAIN APPLICATIONS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autoPict="0" r:id="rId5">
            <anchor moveWithCells="1" sizeWithCells="1">
              <from>
                <xdr:col>13</xdr:col>
                <xdr:colOff>419100</xdr:colOff>
                <xdr:row>36</xdr:row>
                <xdr:rowOff>66675</xdr:rowOff>
              </from>
              <to>
                <xdr:col>15</xdr:col>
                <xdr:colOff>19050</xdr:colOff>
                <xdr:row>38</xdr:row>
                <xdr:rowOff>76200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K21"/>
  <sheetViews>
    <sheetView workbookViewId="0">
      <selection sqref="A1:G65536"/>
    </sheetView>
  </sheetViews>
  <sheetFormatPr defaultRowHeight="12.75" x14ac:dyDescent="0.2"/>
  <cols>
    <col min="1" max="1" width="17.85546875" style="23" customWidth="1"/>
    <col min="2" max="2" width="26.28515625" style="23" customWidth="1"/>
    <col min="3" max="3" width="33.5703125" style="23" customWidth="1"/>
    <col min="4" max="4" width="11" style="23" customWidth="1"/>
    <col min="5" max="5" width="33.42578125" style="23" customWidth="1"/>
    <col min="6" max="6" width="15.42578125" style="23" customWidth="1"/>
    <col min="7" max="7" width="19.28515625" style="23" customWidth="1"/>
    <col min="8" max="8" width="3.28515625" style="22" hidden="1" customWidth="1"/>
    <col min="9" max="10" width="9.140625" style="23"/>
    <col min="11" max="11" width="9.140625" style="24"/>
    <col min="12" max="256" width="9.140625" style="23"/>
    <col min="257" max="257" width="17.85546875" style="23" customWidth="1"/>
    <col min="258" max="258" width="26.28515625" style="23" customWidth="1"/>
    <col min="259" max="259" width="33.5703125" style="23" customWidth="1"/>
    <col min="260" max="260" width="11" style="23" customWidth="1"/>
    <col min="261" max="261" width="33.42578125" style="23" customWidth="1"/>
    <col min="262" max="262" width="15.42578125" style="23" customWidth="1"/>
    <col min="263" max="263" width="19.28515625" style="23" customWidth="1"/>
    <col min="264" max="264" width="0" style="23" hidden="1" customWidth="1"/>
    <col min="265" max="512" width="9.140625" style="23"/>
    <col min="513" max="513" width="17.85546875" style="23" customWidth="1"/>
    <col min="514" max="514" width="26.28515625" style="23" customWidth="1"/>
    <col min="515" max="515" width="33.5703125" style="23" customWidth="1"/>
    <col min="516" max="516" width="11" style="23" customWidth="1"/>
    <col min="517" max="517" width="33.42578125" style="23" customWidth="1"/>
    <col min="518" max="518" width="15.42578125" style="23" customWidth="1"/>
    <col min="519" max="519" width="19.28515625" style="23" customWidth="1"/>
    <col min="520" max="520" width="0" style="23" hidden="1" customWidth="1"/>
    <col min="521" max="768" width="9.140625" style="23"/>
    <col min="769" max="769" width="17.85546875" style="23" customWidth="1"/>
    <col min="770" max="770" width="26.28515625" style="23" customWidth="1"/>
    <col min="771" max="771" width="33.5703125" style="23" customWidth="1"/>
    <col min="772" max="772" width="11" style="23" customWidth="1"/>
    <col min="773" max="773" width="33.42578125" style="23" customWidth="1"/>
    <col min="774" max="774" width="15.42578125" style="23" customWidth="1"/>
    <col min="775" max="775" width="19.28515625" style="23" customWidth="1"/>
    <col min="776" max="776" width="0" style="23" hidden="1" customWidth="1"/>
    <col min="777" max="1024" width="9.140625" style="23"/>
    <col min="1025" max="1025" width="17.85546875" style="23" customWidth="1"/>
    <col min="1026" max="1026" width="26.28515625" style="23" customWidth="1"/>
    <col min="1027" max="1027" width="33.5703125" style="23" customWidth="1"/>
    <col min="1028" max="1028" width="11" style="23" customWidth="1"/>
    <col min="1029" max="1029" width="33.42578125" style="23" customWidth="1"/>
    <col min="1030" max="1030" width="15.42578125" style="23" customWidth="1"/>
    <col min="1031" max="1031" width="19.28515625" style="23" customWidth="1"/>
    <col min="1032" max="1032" width="0" style="23" hidden="1" customWidth="1"/>
    <col min="1033" max="1280" width="9.140625" style="23"/>
    <col min="1281" max="1281" width="17.85546875" style="23" customWidth="1"/>
    <col min="1282" max="1282" width="26.28515625" style="23" customWidth="1"/>
    <col min="1283" max="1283" width="33.5703125" style="23" customWidth="1"/>
    <col min="1284" max="1284" width="11" style="23" customWidth="1"/>
    <col min="1285" max="1285" width="33.42578125" style="23" customWidth="1"/>
    <col min="1286" max="1286" width="15.42578125" style="23" customWidth="1"/>
    <col min="1287" max="1287" width="19.28515625" style="23" customWidth="1"/>
    <col min="1288" max="1288" width="0" style="23" hidden="1" customWidth="1"/>
    <col min="1289" max="1536" width="9.140625" style="23"/>
    <col min="1537" max="1537" width="17.85546875" style="23" customWidth="1"/>
    <col min="1538" max="1538" width="26.28515625" style="23" customWidth="1"/>
    <col min="1539" max="1539" width="33.5703125" style="23" customWidth="1"/>
    <col min="1540" max="1540" width="11" style="23" customWidth="1"/>
    <col min="1541" max="1541" width="33.42578125" style="23" customWidth="1"/>
    <col min="1542" max="1542" width="15.42578125" style="23" customWidth="1"/>
    <col min="1543" max="1543" width="19.28515625" style="23" customWidth="1"/>
    <col min="1544" max="1544" width="0" style="23" hidden="1" customWidth="1"/>
    <col min="1545" max="1792" width="9.140625" style="23"/>
    <col min="1793" max="1793" width="17.85546875" style="23" customWidth="1"/>
    <col min="1794" max="1794" width="26.28515625" style="23" customWidth="1"/>
    <col min="1795" max="1795" width="33.5703125" style="23" customWidth="1"/>
    <col min="1796" max="1796" width="11" style="23" customWidth="1"/>
    <col min="1797" max="1797" width="33.42578125" style="23" customWidth="1"/>
    <col min="1798" max="1798" width="15.42578125" style="23" customWidth="1"/>
    <col min="1799" max="1799" width="19.28515625" style="23" customWidth="1"/>
    <col min="1800" max="1800" width="0" style="23" hidden="1" customWidth="1"/>
    <col min="1801" max="2048" width="9.140625" style="23"/>
    <col min="2049" max="2049" width="17.85546875" style="23" customWidth="1"/>
    <col min="2050" max="2050" width="26.28515625" style="23" customWidth="1"/>
    <col min="2051" max="2051" width="33.5703125" style="23" customWidth="1"/>
    <col min="2052" max="2052" width="11" style="23" customWidth="1"/>
    <col min="2053" max="2053" width="33.42578125" style="23" customWidth="1"/>
    <col min="2054" max="2054" width="15.42578125" style="23" customWidth="1"/>
    <col min="2055" max="2055" width="19.28515625" style="23" customWidth="1"/>
    <col min="2056" max="2056" width="0" style="23" hidden="1" customWidth="1"/>
    <col min="2057" max="2304" width="9.140625" style="23"/>
    <col min="2305" max="2305" width="17.85546875" style="23" customWidth="1"/>
    <col min="2306" max="2306" width="26.28515625" style="23" customWidth="1"/>
    <col min="2307" max="2307" width="33.5703125" style="23" customWidth="1"/>
    <col min="2308" max="2308" width="11" style="23" customWidth="1"/>
    <col min="2309" max="2309" width="33.42578125" style="23" customWidth="1"/>
    <col min="2310" max="2310" width="15.42578125" style="23" customWidth="1"/>
    <col min="2311" max="2311" width="19.28515625" style="23" customWidth="1"/>
    <col min="2312" max="2312" width="0" style="23" hidden="1" customWidth="1"/>
    <col min="2313" max="2560" width="9.140625" style="23"/>
    <col min="2561" max="2561" width="17.85546875" style="23" customWidth="1"/>
    <col min="2562" max="2562" width="26.28515625" style="23" customWidth="1"/>
    <col min="2563" max="2563" width="33.5703125" style="23" customWidth="1"/>
    <col min="2564" max="2564" width="11" style="23" customWidth="1"/>
    <col min="2565" max="2565" width="33.42578125" style="23" customWidth="1"/>
    <col min="2566" max="2566" width="15.42578125" style="23" customWidth="1"/>
    <col min="2567" max="2567" width="19.28515625" style="23" customWidth="1"/>
    <col min="2568" max="2568" width="0" style="23" hidden="1" customWidth="1"/>
    <col min="2569" max="2816" width="9.140625" style="23"/>
    <col min="2817" max="2817" width="17.85546875" style="23" customWidth="1"/>
    <col min="2818" max="2818" width="26.28515625" style="23" customWidth="1"/>
    <col min="2819" max="2819" width="33.5703125" style="23" customWidth="1"/>
    <col min="2820" max="2820" width="11" style="23" customWidth="1"/>
    <col min="2821" max="2821" width="33.42578125" style="23" customWidth="1"/>
    <col min="2822" max="2822" width="15.42578125" style="23" customWidth="1"/>
    <col min="2823" max="2823" width="19.28515625" style="23" customWidth="1"/>
    <col min="2824" max="2824" width="0" style="23" hidden="1" customWidth="1"/>
    <col min="2825" max="3072" width="9.140625" style="23"/>
    <col min="3073" max="3073" width="17.85546875" style="23" customWidth="1"/>
    <col min="3074" max="3074" width="26.28515625" style="23" customWidth="1"/>
    <col min="3075" max="3075" width="33.5703125" style="23" customWidth="1"/>
    <col min="3076" max="3076" width="11" style="23" customWidth="1"/>
    <col min="3077" max="3077" width="33.42578125" style="23" customWidth="1"/>
    <col min="3078" max="3078" width="15.42578125" style="23" customWidth="1"/>
    <col min="3079" max="3079" width="19.28515625" style="23" customWidth="1"/>
    <col min="3080" max="3080" width="0" style="23" hidden="1" customWidth="1"/>
    <col min="3081" max="3328" width="9.140625" style="23"/>
    <col min="3329" max="3329" width="17.85546875" style="23" customWidth="1"/>
    <col min="3330" max="3330" width="26.28515625" style="23" customWidth="1"/>
    <col min="3331" max="3331" width="33.5703125" style="23" customWidth="1"/>
    <col min="3332" max="3332" width="11" style="23" customWidth="1"/>
    <col min="3333" max="3333" width="33.42578125" style="23" customWidth="1"/>
    <col min="3334" max="3334" width="15.42578125" style="23" customWidth="1"/>
    <col min="3335" max="3335" width="19.28515625" style="23" customWidth="1"/>
    <col min="3336" max="3336" width="0" style="23" hidden="1" customWidth="1"/>
    <col min="3337" max="3584" width="9.140625" style="23"/>
    <col min="3585" max="3585" width="17.85546875" style="23" customWidth="1"/>
    <col min="3586" max="3586" width="26.28515625" style="23" customWidth="1"/>
    <col min="3587" max="3587" width="33.5703125" style="23" customWidth="1"/>
    <col min="3588" max="3588" width="11" style="23" customWidth="1"/>
    <col min="3589" max="3589" width="33.42578125" style="23" customWidth="1"/>
    <col min="3590" max="3590" width="15.42578125" style="23" customWidth="1"/>
    <col min="3591" max="3591" width="19.28515625" style="23" customWidth="1"/>
    <col min="3592" max="3592" width="0" style="23" hidden="1" customWidth="1"/>
    <col min="3593" max="3840" width="9.140625" style="23"/>
    <col min="3841" max="3841" width="17.85546875" style="23" customWidth="1"/>
    <col min="3842" max="3842" width="26.28515625" style="23" customWidth="1"/>
    <col min="3843" max="3843" width="33.5703125" style="23" customWidth="1"/>
    <col min="3844" max="3844" width="11" style="23" customWidth="1"/>
    <col min="3845" max="3845" width="33.42578125" style="23" customWidth="1"/>
    <col min="3846" max="3846" width="15.42578125" style="23" customWidth="1"/>
    <col min="3847" max="3847" width="19.28515625" style="23" customWidth="1"/>
    <col min="3848" max="3848" width="0" style="23" hidden="1" customWidth="1"/>
    <col min="3849" max="4096" width="9.140625" style="23"/>
    <col min="4097" max="4097" width="17.85546875" style="23" customWidth="1"/>
    <col min="4098" max="4098" width="26.28515625" style="23" customWidth="1"/>
    <col min="4099" max="4099" width="33.5703125" style="23" customWidth="1"/>
    <col min="4100" max="4100" width="11" style="23" customWidth="1"/>
    <col min="4101" max="4101" width="33.42578125" style="23" customWidth="1"/>
    <col min="4102" max="4102" width="15.42578125" style="23" customWidth="1"/>
    <col min="4103" max="4103" width="19.28515625" style="23" customWidth="1"/>
    <col min="4104" max="4104" width="0" style="23" hidden="1" customWidth="1"/>
    <col min="4105" max="4352" width="9.140625" style="23"/>
    <col min="4353" max="4353" width="17.85546875" style="23" customWidth="1"/>
    <col min="4354" max="4354" width="26.28515625" style="23" customWidth="1"/>
    <col min="4355" max="4355" width="33.5703125" style="23" customWidth="1"/>
    <col min="4356" max="4356" width="11" style="23" customWidth="1"/>
    <col min="4357" max="4357" width="33.42578125" style="23" customWidth="1"/>
    <col min="4358" max="4358" width="15.42578125" style="23" customWidth="1"/>
    <col min="4359" max="4359" width="19.28515625" style="23" customWidth="1"/>
    <col min="4360" max="4360" width="0" style="23" hidden="1" customWidth="1"/>
    <col min="4361" max="4608" width="9.140625" style="23"/>
    <col min="4609" max="4609" width="17.85546875" style="23" customWidth="1"/>
    <col min="4610" max="4610" width="26.28515625" style="23" customWidth="1"/>
    <col min="4611" max="4611" width="33.5703125" style="23" customWidth="1"/>
    <col min="4612" max="4612" width="11" style="23" customWidth="1"/>
    <col min="4613" max="4613" width="33.42578125" style="23" customWidth="1"/>
    <col min="4614" max="4614" width="15.42578125" style="23" customWidth="1"/>
    <col min="4615" max="4615" width="19.28515625" style="23" customWidth="1"/>
    <col min="4616" max="4616" width="0" style="23" hidden="1" customWidth="1"/>
    <col min="4617" max="4864" width="9.140625" style="23"/>
    <col min="4865" max="4865" width="17.85546875" style="23" customWidth="1"/>
    <col min="4866" max="4866" width="26.28515625" style="23" customWidth="1"/>
    <col min="4867" max="4867" width="33.5703125" style="23" customWidth="1"/>
    <col min="4868" max="4868" width="11" style="23" customWidth="1"/>
    <col min="4869" max="4869" width="33.42578125" style="23" customWidth="1"/>
    <col min="4870" max="4870" width="15.42578125" style="23" customWidth="1"/>
    <col min="4871" max="4871" width="19.28515625" style="23" customWidth="1"/>
    <col min="4872" max="4872" width="0" style="23" hidden="1" customWidth="1"/>
    <col min="4873" max="5120" width="9.140625" style="23"/>
    <col min="5121" max="5121" width="17.85546875" style="23" customWidth="1"/>
    <col min="5122" max="5122" width="26.28515625" style="23" customWidth="1"/>
    <col min="5123" max="5123" width="33.5703125" style="23" customWidth="1"/>
    <col min="5124" max="5124" width="11" style="23" customWidth="1"/>
    <col min="5125" max="5125" width="33.42578125" style="23" customWidth="1"/>
    <col min="5126" max="5126" width="15.42578125" style="23" customWidth="1"/>
    <col min="5127" max="5127" width="19.28515625" style="23" customWidth="1"/>
    <col min="5128" max="5128" width="0" style="23" hidden="1" customWidth="1"/>
    <col min="5129" max="5376" width="9.140625" style="23"/>
    <col min="5377" max="5377" width="17.85546875" style="23" customWidth="1"/>
    <col min="5378" max="5378" width="26.28515625" style="23" customWidth="1"/>
    <col min="5379" max="5379" width="33.5703125" style="23" customWidth="1"/>
    <col min="5380" max="5380" width="11" style="23" customWidth="1"/>
    <col min="5381" max="5381" width="33.42578125" style="23" customWidth="1"/>
    <col min="5382" max="5382" width="15.42578125" style="23" customWidth="1"/>
    <col min="5383" max="5383" width="19.28515625" style="23" customWidth="1"/>
    <col min="5384" max="5384" width="0" style="23" hidden="1" customWidth="1"/>
    <col min="5385" max="5632" width="9.140625" style="23"/>
    <col min="5633" max="5633" width="17.85546875" style="23" customWidth="1"/>
    <col min="5634" max="5634" width="26.28515625" style="23" customWidth="1"/>
    <col min="5635" max="5635" width="33.5703125" style="23" customWidth="1"/>
    <col min="5636" max="5636" width="11" style="23" customWidth="1"/>
    <col min="5637" max="5637" width="33.42578125" style="23" customWidth="1"/>
    <col min="5638" max="5638" width="15.42578125" style="23" customWidth="1"/>
    <col min="5639" max="5639" width="19.28515625" style="23" customWidth="1"/>
    <col min="5640" max="5640" width="0" style="23" hidden="1" customWidth="1"/>
    <col min="5641" max="5888" width="9.140625" style="23"/>
    <col min="5889" max="5889" width="17.85546875" style="23" customWidth="1"/>
    <col min="5890" max="5890" width="26.28515625" style="23" customWidth="1"/>
    <col min="5891" max="5891" width="33.5703125" style="23" customWidth="1"/>
    <col min="5892" max="5892" width="11" style="23" customWidth="1"/>
    <col min="5893" max="5893" width="33.42578125" style="23" customWidth="1"/>
    <col min="5894" max="5894" width="15.42578125" style="23" customWidth="1"/>
    <col min="5895" max="5895" width="19.28515625" style="23" customWidth="1"/>
    <col min="5896" max="5896" width="0" style="23" hidden="1" customWidth="1"/>
    <col min="5897" max="6144" width="9.140625" style="23"/>
    <col min="6145" max="6145" width="17.85546875" style="23" customWidth="1"/>
    <col min="6146" max="6146" width="26.28515625" style="23" customWidth="1"/>
    <col min="6147" max="6147" width="33.5703125" style="23" customWidth="1"/>
    <col min="6148" max="6148" width="11" style="23" customWidth="1"/>
    <col min="6149" max="6149" width="33.42578125" style="23" customWidth="1"/>
    <col min="6150" max="6150" width="15.42578125" style="23" customWidth="1"/>
    <col min="6151" max="6151" width="19.28515625" style="23" customWidth="1"/>
    <col min="6152" max="6152" width="0" style="23" hidden="1" customWidth="1"/>
    <col min="6153" max="6400" width="9.140625" style="23"/>
    <col min="6401" max="6401" width="17.85546875" style="23" customWidth="1"/>
    <col min="6402" max="6402" width="26.28515625" style="23" customWidth="1"/>
    <col min="6403" max="6403" width="33.5703125" style="23" customWidth="1"/>
    <col min="6404" max="6404" width="11" style="23" customWidth="1"/>
    <col min="6405" max="6405" width="33.42578125" style="23" customWidth="1"/>
    <col min="6406" max="6406" width="15.42578125" style="23" customWidth="1"/>
    <col min="6407" max="6407" width="19.28515625" style="23" customWidth="1"/>
    <col min="6408" max="6408" width="0" style="23" hidden="1" customWidth="1"/>
    <col min="6409" max="6656" width="9.140625" style="23"/>
    <col min="6657" max="6657" width="17.85546875" style="23" customWidth="1"/>
    <col min="6658" max="6658" width="26.28515625" style="23" customWidth="1"/>
    <col min="6659" max="6659" width="33.5703125" style="23" customWidth="1"/>
    <col min="6660" max="6660" width="11" style="23" customWidth="1"/>
    <col min="6661" max="6661" width="33.42578125" style="23" customWidth="1"/>
    <col min="6662" max="6662" width="15.42578125" style="23" customWidth="1"/>
    <col min="6663" max="6663" width="19.28515625" style="23" customWidth="1"/>
    <col min="6664" max="6664" width="0" style="23" hidden="1" customWidth="1"/>
    <col min="6665" max="6912" width="9.140625" style="23"/>
    <col min="6913" max="6913" width="17.85546875" style="23" customWidth="1"/>
    <col min="6914" max="6914" width="26.28515625" style="23" customWidth="1"/>
    <col min="6915" max="6915" width="33.5703125" style="23" customWidth="1"/>
    <col min="6916" max="6916" width="11" style="23" customWidth="1"/>
    <col min="6917" max="6917" width="33.42578125" style="23" customWidth="1"/>
    <col min="6918" max="6918" width="15.42578125" style="23" customWidth="1"/>
    <col min="6919" max="6919" width="19.28515625" style="23" customWidth="1"/>
    <col min="6920" max="6920" width="0" style="23" hidden="1" customWidth="1"/>
    <col min="6921" max="7168" width="9.140625" style="23"/>
    <col min="7169" max="7169" width="17.85546875" style="23" customWidth="1"/>
    <col min="7170" max="7170" width="26.28515625" style="23" customWidth="1"/>
    <col min="7171" max="7171" width="33.5703125" style="23" customWidth="1"/>
    <col min="7172" max="7172" width="11" style="23" customWidth="1"/>
    <col min="7173" max="7173" width="33.42578125" style="23" customWidth="1"/>
    <col min="7174" max="7174" width="15.42578125" style="23" customWidth="1"/>
    <col min="7175" max="7175" width="19.28515625" style="23" customWidth="1"/>
    <col min="7176" max="7176" width="0" style="23" hidden="1" customWidth="1"/>
    <col min="7177" max="7424" width="9.140625" style="23"/>
    <col min="7425" max="7425" width="17.85546875" style="23" customWidth="1"/>
    <col min="7426" max="7426" width="26.28515625" style="23" customWidth="1"/>
    <col min="7427" max="7427" width="33.5703125" style="23" customWidth="1"/>
    <col min="7428" max="7428" width="11" style="23" customWidth="1"/>
    <col min="7429" max="7429" width="33.42578125" style="23" customWidth="1"/>
    <col min="7430" max="7430" width="15.42578125" style="23" customWidth="1"/>
    <col min="7431" max="7431" width="19.28515625" style="23" customWidth="1"/>
    <col min="7432" max="7432" width="0" style="23" hidden="1" customWidth="1"/>
    <col min="7433" max="7680" width="9.140625" style="23"/>
    <col min="7681" max="7681" width="17.85546875" style="23" customWidth="1"/>
    <col min="7682" max="7682" width="26.28515625" style="23" customWidth="1"/>
    <col min="7683" max="7683" width="33.5703125" style="23" customWidth="1"/>
    <col min="7684" max="7684" width="11" style="23" customWidth="1"/>
    <col min="7685" max="7685" width="33.42578125" style="23" customWidth="1"/>
    <col min="7686" max="7686" width="15.42578125" style="23" customWidth="1"/>
    <col min="7687" max="7687" width="19.28515625" style="23" customWidth="1"/>
    <col min="7688" max="7688" width="0" style="23" hidden="1" customWidth="1"/>
    <col min="7689" max="7936" width="9.140625" style="23"/>
    <col min="7937" max="7937" width="17.85546875" style="23" customWidth="1"/>
    <col min="7938" max="7938" width="26.28515625" style="23" customWidth="1"/>
    <col min="7939" max="7939" width="33.5703125" style="23" customWidth="1"/>
    <col min="7940" max="7940" width="11" style="23" customWidth="1"/>
    <col min="7941" max="7941" width="33.42578125" style="23" customWidth="1"/>
    <col min="7942" max="7942" width="15.42578125" style="23" customWidth="1"/>
    <col min="7943" max="7943" width="19.28515625" style="23" customWidth="1"/>
    <col min="7944" max="7944" width="0" style="23" hidden="1" customWidth="1"/>
    <col min="7945" max="8192" width="9.140625" style="23"/>
    <col min="8193" max="8193" width="17.85546875" style="23" customWidth="1"/>
    <col min="8194" max="8194" width="26.28515625" style="23" customWidth="1"/>
    <col min="8195" max="8195" width="33.5703125" style="23" customWidth="1"/>
    <col min="8196" max="8196" width="11" style="23" customWidth="1"/>
    <col min="8197" max="8197" width="33.42578125" style="23" customWidth="1"/>
    <col min="8198" max="8198" width="15.42578125" style="23" customWidth="1"/>
    <col min="8199" max="8199" width="19.28515625" style="23" customWidth="1"/>
    <col min="8200" max="8200" width="0" style="23" hidden="1" customWidth="1"/>
    <col min="8201" max="8448" width="9.140625" style="23"/>
    <col min="8449" max="8449" width="17.85546875" style="23" customWidth="1"/>
    <col min="8450" max="8450" width="26.28515625" style="23" customWidth="1"/>
    <col min="8451" max="8451" width="33.5703125" style="23" customWidth="1"/>
    <col min="8452" max="8452" width="11" style="23" customWidth="1"/>
    <col min="8453" max="8453" width="33.42578125" style="23" customWidth="1"/>
    <col min="8454" max="8454" width="15.42578125" style="23" customWidth="1"/>
    <col min="8455" max="8455" width="19.28515625" style="23" customWidth="1"/>
    <col min="8456" max="8456" width="0" style="23" hidden="1" customWidth="1"/>
    <col min="8457" max="8704" width="9.140625" style="23"/>
    <col min="8705" max="8705" width="17.85546875" style="23" customWidth="1"/>
    <col min="8706" max="8706" width="26.28515625" style="23" customWidth="1"/>
    <col min="8707" max="8707" width="33.5703125" style="23" customWidth="1"/>
    <col min="8708" max="8708" width="11" style="23" customWidth="1"/>
    <col min="8709" max="8709" width="33.42578125" style="23" customWidth="1"/>
    <col min="8710" max="8710" width="15.42578125" style="23" customWidth="1"/>
    <col min="8711" max="8711" width="19.28515625" style="23" customWidth="1"/>
    <col min="8712" max="8712" width="0" style="23" hidden="1" customWidth="1"/>
    <col min="8713" max="8960" width="9.140625" style="23"/>
    <col min="8961" max="8961" width="17.85546875" style="23" customWidth="1"/>
    <col min="8962" max="8962" width="26.28515625" style="23" customWidth="1"/>
    <col min="8963" max="8963" width="33.5703125" style="23" customWidth="1"/>
    <col min="8964" max="8964" width="11" style="23" customWidth="1"/>
    <col min="8965" max="8965" width="33.42578125" style="23" customWidth="1"/>
    <col min="8966" max="8966" width="15.42578125" style="23" customWidth="1"/>
    <col min="8967" max="8967" width="19.28515625" style="23" customWidth="1"/>
    <col min="8968" max="8968" width="0" style="23" hidden="1" customWidth="1"/>
    <col min="8969" max="9216" width="9.140625" style="23"/>
    <col min="9217" max="9217" width="17.85546875" style="23" customWidth="1"/>
    <col min="9218" max="9218" width="26.28515625" style="23" customWidth="1"/>
    <col min="9219" max="9219" width="33.5703125" style="23" customWidth="1"/>
    <col min="9220" max="9220" width="11" style="23" customWidth="1"/>
    <col min="9221" max="9221" width="33.42578125" style="23" customWidth="1"/>
    <col min="9222" max="9222" width="15.42578125" style="23" customWidth="1"/>
    <col min="9223" max="9223" width="19.28515625" style="23" customWidth="1"/>
    <col min="9224" max="9224" width="0" style="23" hidden="1" customWidth="1"/>
    <col min="9225" max="9472" width="9.140625" style="23"/>
    <col min="9473" max="9473" width="17.85546875" style="23" customWidth="1"/>
    <col min="9474" max="9474" width="26.28515625" style="23" customWidth="1"/>
    <col min="9475" max="9475" width="33.5703125" style="23" customWidth="1"/>
    <col min="9476" max="9476" width="11" style="23" customWidth="1"/>
    <col min="9477" max="9477" width="33.42578125" style="23" customWidth="1"/>
    <col min="9478" max="9478" width="15.42578125" style="23" customWidth="1"/>
    <col min="9479" max="9479" width="19.28515625" style="23" customWidth="1"/>
    <col min="9480" max="9480" width="0" style="23" hidden="1" customWidth="1"/>
    <col min="9481" max="9728" width="9.140625" style="23"/>
    <col min="9729" max="9729" width="17.85546875" style="23" customWidth="1"/>
    <col min="9730" max="9730" width="26.28515625" style="23" customWidth="1"/>
    <col min="9731" max="9731" width="33.5703125" style="23" customWidth="1"/>
    <col min="9732" max="9732" width="11" style="23" customWidth="1"/>
    <col min="9733" max="9733" width="33.42578125" style="23" customWidth="1"/>
    <col min="9734" max="9734" width="15.42578125" style="23" customWidth="1"/>
    <col min="9735" max="9735" width="19.28515625" style="23" customWidth="1"/>
    <col min="9736" max="9736" width="0" style="23" hidden="1" customWidth="1"/>
    <col min="9737" max="9984" width="9.140625" style="23"/>
    <col min="9985" max="9985" width="17.85546875" style="23" customWidth="1"/>
    <col min="9986" max="9986" width="26.28515625" style="23" customWidth="1"/>
    <col min="9987" max="9987" width="33.5703125" style="23" customWidth="1"/>
    <col min="9988" max="9988" width="11" style="23" customWidth="1"/>
    <col min="9989" max="9989" width="33.42578125" style="23" customWidth="1"/>
    <col min="9990" max="9990" width="15.42578125" style="23" customWidth="1"/>
    <col min="9991" max="9991" width="19.28515625" style="23" customWidth="1"/>
    <col min="9992" max="9992" width="0" style="23" hidden="1" customWidth="1"/>
    <col min="9993" max="10240" width="9.140625" style="23"/>
    <col min="10241" max="10241" width="17.85546875" style="23" customWidth="1"/>
    <col min="10242" max="10242" width="26.28515625" style="23" customWidth="1"/>
    <col min="10243" max="10243" width="33.5703125" style="23" customWidth="1"/>
    <col min="10244" max="10244" width="11" style="23" customWidth="1"/>
    <col min="10245" max="10245" width="33.42578125" style="23" customWidth="1"/>
    <col min="10246" max="10246" width="15.42578125" style="23" customWidth="1"/>
    <col min="10247" max="10247" width="19.28515625" style="23" customWidth="1"/>
    <col min="10248" max="10248" width="0" style="23" hidden="1" customWidth="1"/>
    <col min="10249" max="10496" width="9.140625" style="23"/>
    <col min="10497" max="10497" width="17.85546875" style="23" customWidth="1"/>
    <col min="10498" max="10498" width="26.28515625" style="23" customWidth="1"/>
    <col min="10499" max="10499" width="33.5703125" style="23" customWidth="1"/>
    <col min="10500" max="10500" width="11" style="23" customWidth="1"/>
    <col min="10501" max="10501" width="33.42578125" style="23" customWidth="1"/>
    <col min="10502" max="10502" width="15.42578125" style="23" customWidth="1"/>
    <col min="10503" max="10503" width="19.28515625" style="23" customWidth="1"/>
    <col min="10504" max="10504" width="0" style="23" hidden="1" customWidth="1"/>
    <col min="10505" max="10752" width="9.140625" style="23"/>
    <col min="10753" max="10753" width="17.85546875" style="23" customWidth="1"/>
    <col min="10754" max="10754" width="26.28515625" style="23" customWidth="1"/>
    <col min="10755" max="10755" width="33.5703125" style="23" customWidth="1"/>
    <col min="10756" max="10756" width="11" style="23" customWidth="1"/>
    <col min="10757" max="10757" width="33.42578125" style="23" customWidth="1"/>
    <col min="10758" max="10758" width="15.42578125" style="23" customWidth="1"/>
    <col min="10759" max="10759" width="19.28515625" style="23" customWidth="1"/>
    <col min="10760" max="10760" width="0" style="23" hidden="1" customWidth="1"/>
    <col min="10761" max="11008" width="9.140625" style="23"/>
    <col min="11009" max="11009" width="17.85546875" style="23" customWidth="1"/>
    <col min="11010" max="11010" width="26.28515625" style="23" customWidth="1"/>
    <col min="11011" max="11011" width="33.5703125" style="23" customWidth="1"/>
    <col min="11012" max="11012" width="11" style="23" customWidth="1"/>
    <col min="11013" max="11013" width="33.42578125" style="23" customWidth="1"/>
    <col min="11014" max="11014" width="15.42578125" style="23" customWidth="1"/>
    <col min="11015" max="11015" width="19.28515625" style="23" customWidth="1"/>
    <col min="11016" max="11016" width="0" style="23" hidden="1" customWidth="1"/>
    <col min="11017" max="11264" width="9.140625" style="23"/>
    <col min="11265" max="11265" width="17.85546875" style="23" customWidth="1"/>
    <col min="11266" max="11266" width="26.28515625" style="23" customWidth="1"/>
    <col min="11267" max="11267" width="33.5703125" style="23" customWidth="1"/>
    <col min="11268" max="11268" width="11" style="23" customWidth="1"/>
    <col min="11269" max="11269" width="33.42578125" style="23" customWidth="1"/>
    <col min="11270" max="11270" width="15.42578125" style="23" customWidth="1"/>
    <col min="11271" max="11271" width="19.28515625" style="23" customWidth="1"/>
    <col min="11272" max="11272" width="0" style="23" hidden="1" customWidth="1"/>
    <col min="11273" max="11520" width="9.140625" style="23"/>
    <col min="11521" max="11521" width="17.85546875" style="23" customWidth="1"/>
    <col min="11522" max="11522" width="26.28515625" style="23" customWidth="1"/>
    <col min="11523" max="11523" width="33.5703125" style="23" customWidth="1"/>
    <col min="11524" max="11524" width="11" style="23" customWidth="1"/>
    <col min="11525" max="11525" width="33.42578125" style="23" customWidth="1"/>
    <col min="11526" max="11526" width="15.42578125" style="23" customWidth="1"/>
    <col min="11527" max="11527" width="19.28515625" style="23" customWidth="1"/>
    <col min="11528" max="11528" width="0" style="23" hidden="1" customWidth="1"/>
    <col min="11529" max="11776" width="9.140625" style="23"/>
    <col min="11777" max="11777" width="17.85546875" style="23" customWidth="1"/>
    <col min="11778" max="11778" width="26.28515625" style="23" customWidth="1"/>
    <col min="11779" max="11779" width="33.5703125" style="23" customWidth="1"/>
    <col min="11780" max="11780" width="11" style="23" customWidth="1"/>
    <col min="11781" max="11781" width="33.42578125" style="23" customWidth="1"/>
    <col min="11782" max="11782" width="15.42578125" style="23" customWidth="1"/>
    <col min="11783" max="11783" width="19.28515625" style="23" customWidth="1"/>
    <col min="11784" max="11784" width="0" style="23" hidden="1" customWidth="1"/>
    <col min="11785" max="12032" width="9.140625" style="23"/>
    <col min="12033" max="12033" width="17.85546875" style="23" customWidth="1"/>
    <col min="12034" max="12034" width="26.28515625" style="23" customWidth="1"/>
    <col min="12035" max="12035" width="33.5703125" style="23" customWidth="1"/>
    <col min="12036" max="12036" width="11" style="23" customWidth="1"/>
    <col min="12037" max="12037" width="33.42578125" style="23" customWidth="1"/>
    <col min="12038" max="12038" width="15.42578125" style="23" customWidth="1"/>
    <col min="12039" max="12039" width="19.28515625" style="23" customWidth="1"/>
    <col min="12040" max="12040" width="0" style="23" hidden="1" customWidth="1"/>
    <col min="12041" max="12288" width="9.140625" style="23"/>
    <col min="12289" max="12289" width="17.85546875" style="23" customWidth="1"/>
    <col min="12290" max="12290" width="26.28515625" style="23" customWidth="1"/>
    <col min="12291" max="12291" width="33.5703125" style="23" customWidth="1"/>
    <col min="12292" max="12292" width="11" style="23" customWidth="1"/>
    <col min="12293" max="12293" width="33.42578125" style="23" customWidth="1"/>
    <col min="12294" max="12294" width="15.42578125" style="23" customWidth="1"/>
    <col min="12295" max="12295" width="19.28515625" style="23" customWidth="1"/>
    <col min="12296" max="12296" width="0" style="23" hidden="1" customWidth="1"/>
    <col min="12297" max="12544" width="9.140625" style="23"/>
    <col min="12545" max="12545" width="17.85546875" style="23" customWidth="1"/>
    <col min="12546" max="12546" width="26.28515625" style="23" customWidth="1"/>
    <col min="12547" max="12547" width="33.5703125" style="23" customWidth="1"/>
    <col min="12548" max="12548" width="11" style="23" customWidth="1"/>
    <col min="12549" max="12549" width="33.42578125" style="23" customWidth="1"/>
    <col min="12550" max="12550" width="15.42578125" style="23" customWidth="1"/>
    <col min="12551" max="12551" width="19.28515625" style="23" customWidth="1"/>
    <col min="12552" max="12552" width="0" style="23" hidden="1" customWidth="1"/>
    <col min="12553" max="12800" width="9.140625" style="23"/>
    <col min="12801" max="12801" width="17.85546875" style="23" customWidth="1"/>
    <col min="12802" max="12802" width="26.28515625" style="23" customWidth="1"/>
    <col min="12803" max="12803" width="33.5703125" style="23" customWidth="1"/>
    <col min="12804" max="12804" width="11" style="23" customWidth="1"/>
    <col min="12805" max="12805" width="33.42578125" style="23" customWidth="1"/>
    <col min="12806" max="12806" width="15.42578125" style="23" customWidth="1"/>
    <col min="12807" max="12807" width="19.28515625" style="23" customWidth="1"/>
    <col min="12808" max="12808" width="0" style="23" hidden="1" customWidth="1"/>
    <col min="12809" max="13056" width="9.140625" style="23"/>
    <col min="13057" max="13057" width="17.85546875" style="23" customWidth="1"/>
    <col min="13058" max="13058" width="26.28515625" style="23" customWidth="1"/>
    <col min="13059" max="13059" width="33.5703125" style="23" customWidth="1"/>
    <col min="13060" max="13060" width="11" style="23" customWidth="1"/>
    <col min="13061" max="13061" width="33.42578125" style="23" customWidth="1"/>
    <col min="13062" max="13062" width="15.42578125" style="23" customWidth="1"/>
    <col min="13063" max="13063" width="19.28515625" style="23" customWidth="1"/>
    <col min="13064" max="13064" width="0" style="23" hidden="1" customWidth="1"/>
    <col min="13065" max="13312" width="9.140625" style="23"/>
    <col min="13313" max="13313" width="17.85546875" style="23" customWidth="1"/>
    <col min="13314" max="13314" width="26.28515625" style="23" customWidth="1"/>
    <col min="13315" max="13315" width="33.5703125" style="23" customWidth="1"/>
    <col min="13316" max="13316" width="11" style="23" customWidth="1"/>
    <col min="13317" max="13317" width="33.42578125" style="23" customWidth="1"/>
    <col min="13318" max="13318" width="15.42578125" style="23" customWidth="1"/>
    <col min="13319" max="13319" width="19.28515625" style="23" customWidth="1"/>
    <col min="13320" max="13320" width="0" style="23" hidden="1" customWidth="1"/>
    <col min="13321" max="13568" width="9.140625" style="23"/>
    <col min="13569" max="13569" width="17.85546875" style="23" customWidth="1"/>
    <col min="13570" max="13570" width="26.28515625" style="23" customWidth="1"/>
    <col min="13571" max="13571" width="33.5703125" style="23" customWidth="1"/>
    <col min="13572" max="13572" width="11" style="23" customWidth="1"/>
    <col min="13573" max="13573" width="33.42578125" style="23" customWidth="1"/>
    <col min="13574" max="13574" width="15.42578125" style="23" customWidth="1"/>
    <col min="13575" max="13575" width="19.28515625" style="23" customWidth="1"/>
    <col min="13576" max="13576" width="0" style="23" hidden="1" customWidth="1"/>
    <col min="13577" max="13824" width="9.140625" style="23"/>
    <col min="13825" max="13825" width="17.85546875" style="23" customWidth="1"/>
    <col min="13826" max="13826" width="26.28515625" style="23" customWidth="1"/>
    <col min="13827" max="13827" width="33.5703125" style="23" customWidth="1"/>
    <col min="13828" max="13828" width="11" style="23" customWidth="1"/>
    <col min="13829" max="13829" width="33.42578125" style="23" customWidth="1"/>
    <col min="13830" max="13830" width="15.42578125" style="23" customWidth="1"/>
    <col min="13831" max="13831" width="19.28515625" style="23" customWidth="1"/>
    <col min="13832" max="13832" width="0" style="23" hidden="1" customWidth="1"/>
    <col min="13833" max="14080" width="9.140625" style="23"/>
    <col min="14081" max="14081" width="17.85546875" style="23" customWidth="1"/>
    <col min="14082" max="14082" width="26.28515625" style="23" customWidth="1"/>
    <col min="14083" max="14083" width="33.5703125" style="23" customWidth="1"/>
    <col min="14084" max="14084" width="11" style="23" customWidth="1"/>
    <col min="14085" max="14085" width="33.42578125" style="23" customWidth="1"/>
    <col min="14086" max="14086" width="15.42578125" style="23" customWidth="1"/>
    <col min="14087" max="14087" width="19.28515625" style="23" customWidth="1"/>
    <col min="14088" max="14088" width="0" style="23" hidden="1" customWidth="1"/>
    <col min="14089" max="14336" width="9.140625" style="23"/>
    <col min="14337" max="14337" width="17.85546875" style="23" customWidth="1"/>
    <col min="14338" max="14338" width="26.28515625" style="23" customWidth="1"/>
    <col min="14339" max="14339" width="33.5703125" style="23" customWidth="1"/>
    <col min="14340" max="14340" width="11" style="23" customWidth="1"/>
    <col min="14341" max="14341" width="33.42578125" style="23" customWidth="1"/>
    <col min="14342" max="14342" width="15.42578125" style="23" customWidth="1"/>
    <col min="14343" max="14343" width="19.28515625" style="23" customWidth="1"/>
    <col min="14344" max="14344" width="0" style="23" hidden="1" customWidth="1"/>
    <col min="14345" max="14592" width="9.140625" style="23"/>
    <col min="14593" max="14593" width="17.85546875" style="23" customWidth="1"/>
    <col min="14594" max="14594" width="26.28515625" style="23" customWidth="1"/>
    <col min="14595" max="14595" width="33.5703125" style="23" customWidth="1"/>
    <col min="14596" max="14596" width="11" style="23" customWidth="1"/>
    <col min="14597" max="14597" width="33.42578125" style="23" customWidth="1"/>
    <col min="14598" max="14598" width="15.42578125" style="23" customWidth="1"/>
    <col min="14599" max="14599" width="19.28515625" style="23" customWidth="1"/>
    <col min="14600" max="14600" width="0" style="23" hidden="1" customWidth="1"/>
    <col min="14601" max="14848" width="9.140625" style="23"/>
    <col min="14849" max="14849" width="17.85546875" style="23" customWidth="1"/>
    <col min="14850" max="14850" width="26.28515625" style="23" customWidth="1"/>
    <col min="14851" max="14851" width="33.5703125" style="23" customWidth="1"/>
    <col min="14852" max="14852" width="11" style="23" customWidth="1"/>
    <col min="14853" max="14853" width="33.42578125" style="23" customWidth="1"/>
    <col min="14854" max="14854" width="15.42578125" style="23" customWidth="1"/>
    <col min="14855" max="14855" width="19.28515625" style="23" customWidth="1"/>
    <col min="14856" max="14856" width="0" style="23" hidden="1" customWidth="1"/>
    <col min="14857" max="15104" width="9.140625" style="23"/>
    <col min="15105" max="15105" width="17.85546875" style="23" customWidth="1"/>
    <col min="15106" max="15106" width="26.28515625" style="23" customWidth="1"/>
    <col min="15107" max="15107" width="33.5703125" style="23" customWidth="1"/>
    <col min="15108" max="15108" width="11" style="23" customWidth="1"/>
    <col min="15109" max="15109" width="33.42578125" style="23" customWidth="1"/>
    <col min="15110" max="15110" width="15.42578125" style="23" customWidth="1"/>
    <col min="15111" max="15111" width="19.28515625" style="23" customWidth="1"/>
    <col min="15112" max="15112" width="0" style="23" hidden="1" customWidth="1"/>
    <col min="15113" max="15360" width="9.140625" style="23"/>
    <col min="15361" max="15361" width="17.85546875" style="23" customWidth="1"/>
    <col min="15362" max="15362" width="26.28515625" style="23" customWidth="1"/>
    <col min="15363" max="15363" width="33.5703125" style="23" customWidth="1"/>
    <col min="15364" max="15364" width="11" style="23" customWidth="1"/>
    <col min="15365" max="15365" width="33.42578125" style="23" customWidth="1"/>
    <col min="15366" max="15366" width="15.42578125" style="23" customWidth="1"/>
    <col min="15367" max="15367" width="19.28515625" style="23" customWidth="1"/>
    <col min="15368" max="15368" width="0" style="23" hidden="1" customWidth="1"/>
    <col min="15369" max="15616" width="9.140625" style="23"/>
    <col min="15617" max="15617" width="17.85546875" style="23" customWidth="1"/>
    <col min="15618" max="15618" width="26.28515625" style="23" customWidth="1"/>
    <col min="15619" max="15619" width="33.5703125" style="23" customWidth="1"/>
    <col min="15620" max="15620" width="11" style="23" customWidth="1"/>
    <col min="15621" max="15621" width="33.42578125" style="23" customWidth="1"/>
    <col min="15622" max="15622" width="15.42578125" style="23" customWidth="1"/>
    <col min="15623" max="15623" width="19.28515625" style="23" customWidth="1"/>
    <col min="15624" max="15624" width="0" style="23" hidden="1" customWidth="1"/>
    <col min="15625" max="15872" width="9.140625" style="23"/>
    <col min="15873" max="15873" width="17.85546875" style="23" customWidth="1"/>
    <col min="15874" max="15874" width="26.28515625" style="23" customWidth="1"/>
    <col min="15875" max="15875" width="33.5703125" style="23" customWidth="1"/>
    <col min="15876" max="15876" width="11" style="23" customWidth="1"/>
    <col min="15877" max="15877" width="33.42578125" style="23" customWidth="1"/>
    <col min="15878" max="15878" width="15.42578125" style="23" customWidth="1"/>
    <col min="15879" max="15879" width="19.28515625" style="23" customWidth="1"/>
    <col min="15880" max="15880" width="0" style="23" hidden="1" customWidth="1"/>
    <col min="15881" max="16128" width="9.140625" style="23"/>
    <col min="16129" max="16129" width="17.85546875" style="23" customWidth="1"/>
    <col min="16130" max="16130" width="26.28515625" style="23" customWidth="1"/>
    <col min="16131" max="16131" width="33.5703125" style="23" customWidth="1"/>
    <col min="16132" max="16132" width="11" style="23" customWidth="1"/>
    <col min="16133" max="16133" width="33.42578125" style="23" customWidth="1"/>
    <col min="16134" max="16134" width="15.42578125" style="23" customWidth="1"/>
    <col min="16135" max="16135" width="19.28515625" style="23" customWidth="1"/>
    <col min="16136" max="16136" width="0" style="23" hidden="1" customWidth="1"/>
    <col min="16137" max="16384" width="9.140625" style="23"/>
  </cols>
  <sheetData>
    <row r="1" spans="1:11" ht="19.5" customHeight="1" x14ac:dyDescent="0.25">
      <c r="A1" s="18" t="s">
        <v>38</v>
      </c>
      <c r="B1" s="19">
        <f>IF(ISBLANK([1]Header!K8),"",[1]Header!K8)</f>
        <v>42654</v>
      </c>
      <c r="C1" s="132" t="s">
        <v>39</v>
      </c>
      <c r="D1" s="133"/>
      <c r="E1" s="133"/>
      <c r="F1" s="20"/>
      <c r="G1" s="21"/>
    </row>
    <row r="2" spans="1:11" ht="13.5" customHeight="1" x14ac:dyDescent="0.25">
      <c r="A2" s="25" t="s">
        <v>40</v>
      </c>
      <c r="B2" s="26" t="str">
        <f>IF(ISBLANK([1]Header!C18),"",[1]Header!C18)</f>
        <v>TL</v>
      </c>
      <c r="C2" s="27"/>
      <c r="D2" s="27"/>
      <c r="E2" s="28"/>
      <c r="F2" s="29"/>
      <c r="G2" s="30"/>
    </row>
    <row r="3" spans="1:11" ht="13.5" customHeight="1" x14ac:dyDescent="0.25">
      <c r="A3" s="25" t="s">
        <v>41</v>
      </c>
      <c r="B3" s="26" t="str">
        <f>IF(ISBLANK([1]Header!I14),"",[1]Header!I14)</f>
        <v>L405 NAS TS DD</v>
      </c>
      <c r="C3" s="27"/>
      <c r="D3" s="27"/>
      <c r="E3" s="29"/>
      <c r="F3" s="29"/>
      <c r="G3" s="30"/>
    </row>
    <row r="4" spans="1:11" ht="13.5" customHeight="1" x14ac:dyDescent="0.25">
      <c r="A4" s="25" t="s">
        <v>42</v>
      </c>
      <c r="B4" s="26" t="str">
        <f>[1]Header!H16</f>
        <v>GPLA-9032-AC</v>
      </c>
      <c r="C4" s="27"/>
      <c r="D4" s="27"/>
      <c r="E4" s="29"/>
      <c r="F4" s="29"/>
      <c r="G4" s="30"/>
    </row>
    <row r="5" spans="1:11" ht="13.5" customHeight="1" x14ac:dyDescent="0.25">
      <c r="A5" s="25" t="s">
        <v>43</v>
      </c>
      <c r="B5" s="26" t="str">
        <f>[1]Header!C16</f>
        <v>UEP2E50159129000</v>
      </c>
      <c r="C5" s="27"/>
      <c r="D5" s="27"/>
      <c r="E5" s="29"/>
      <c r="F5" s="29"/>
      <c r="G5" s="30"/>
    </row>
    <row r="6" spans="1:11" ht="13.5" customHeight="1" x14ac:dyDescent="0.25">
      <c r="A6" s="25" t="s">
        <v>44</v>
      </c>
      <c r="B6" s="26" t="str">
        <f>IF(ISBLANK([1]Header!L22),"",[1]Header!L22)</f>
        <v>Bend lower 34.9mm pipe</v>
      </c>
      <c r="C6" s="27"/>
      <c r="D6" s="27"/>
      <c r="E6" s="29"/>
      <c r="F6" s="31" t="s">
        <v>45</v>
      </c>
      <c r="G6" s="32" t="s">
        <v>46</v>
      </c>
    </row>
    <row r="7" spans="1:11" ht="19.5" customHeight="1" thickBot="1" x14ac:dyDescent="0.25">
      <c r="A7" s="33" t="s">
        <v>47</v>
      </c>
      <c r="B7" s="34" t="str">
        <f>IF(ISBLANK([1]Header!N8),"",[1]Header!N8)</f>
        <v/>
      </c>
      <c r="C7" s="134"/>
      <c r="D7" s="135"/>
      <c r="E7" s="135"/>
      <c r="F7" s="35"/>
      <c r="G7" s="36"/>
    </row>
    <row r="8" spans="1:11" x14ac:dyDescent="0.2">
      <c r="A8" s="37"/>
      <c r="B8" s="38"/>
      <c r="C8" s="38"/>
      <c r="D8" s="38"/>
      <c r="E8" s="38"/>
      <c r="F8" s="38"/>
      <c r="G8" s="39"/>
    </row>
    <row r="9" spans="1:11" x14ac:dyDescent="0.2">
      <c r="A9" s="40"/>
      <c r="B9" s="27"/>
      <c r="C9" s="27"/>
      <c r="D9" s="27"/>
      <c r="E9" s="27"/>
      <c r="F9" s="27"/>
      <c r="G9" s="41"/>
    </row>
    <row r="10" spans="1:11" ht="12.75" customHeight="1" x14ac:dyDescent="0.2">
      <c r="A10" s="40"/>
      <c r="B10" s="42"/>
      <c r="C10" s="42"/>
      <c r="D10" s="42"/>
      <c r="E10" s="42"/>
      <c r="F10" s="42"/>
      <c r="G10" s="41"/>
    </row>
    <row r="11" spans="1:11" x14ac:dyDescent="0.2">
      <c r="A11" s="43"/>
      <c r="B11" s="44"/>
      <c r="C11" s="44"/>
      <c r="D11" s="44"/>
      <c r="E11" s="44"/>
      <c r="F11" s="44"/>
      <c r="G11" s="45"/>
    </row>
    <row r="12" spans="1:11" s="48" customFormat="1" ht="15" customHeight="1" x14ac:dyDescent="0.25">
      <c r="A12" s="136" t="s">
        <v>48</v>
      </c>
      <c r="B12" s="137"/>
      <c r="C12" s="46" t="s">
        <v>49</v>
      </c>
      <c r="D12" s="46" t="s">
        <v>50</v>
      </c>
      <c r="E12" s="46" t="s">
        <v>51</v>
      </c>
      <c r="F12" s="136" t="s">
        <v>52</v>
      </c>
      <c r="G12" s="137"/>
      <c r="H12" s="47">
        <f>MAX(H14:H502)</f>
        <v>7</v>
      </c>
      <c r="K12" s="49"/>
    </row>
    <row r="13" spans="1:11" s="48" customFormat="1" ht="1.5" customHeight="1" x14ac:dyDescent="0.25">
      <c r="A13" s="50"/>
      <c r="B13" s="50"/>
      <c r="C13" s="51"/>
      <c r="D13" s="51"/>
      <c r="E13" s="51"/>
      <c r="F13" s="51"/>
      <c r="G13" s="51"/>
      <c r="H13" s="47"/>
      <c r="K13" s="49"/>
    </row>
    <row r="14" spans="1:11" ht="39" customHeight="1" x14ac:dyDescent="0.2">
      <c r="A14" s="131" t="s">
        <v>53</v>
      </c>
      <c r="B14" s="127"/>
      <c r="C14" s="52" t="s">
        <v>54</v>
      </c>
      <c r="D14" s="53">
        <f t="shared" ref="D14:D19" si="0">SUM(ROW(A14)-14)*10+10</f>
        <v>10</v>
      </c>
      <c r="E14" s="54"/>
      <c r="F14" s="128" t="s">
        <v>55</v>
      </c>
      <c r="G14" s="129"/>
      <c r="H14" s="22">
        <v>1</v>
      </c>
    </row>
    <row r="15" spans="1:11" ht="39" customHeight="1" x14ac:dyDescent="0.2">
      <c r="A15" s="131" t="s">
        <v>56</v>
      </c>
      <c r="B15" s="127"/>
      <c r="C15" s="53" t="s">
        <v>57</v>
      </c>
      <c r="D15" s="53">
        <f t="shared" si="0"/>
        <v>20</v>
      </c>
      <c r="E15" s="55"/>
      <c r="F15" s="128" t="s">
        <v>58</v>
      </c>
      <c r="G15" s="129"/>
      <c r="H15" s="22">
        <v>2</v>
      </c>
    </row>
    <row r="16" spans="1:11" ht="39" customHeight="1" x14ac:dyDescent="0.2">
      <c r="A16" s="131" t="s">
        <v>59</v>
      </c>
      <c r="B16" s="127"/>
      <c r="C16" s="56" t="s">
        <v>59</v>
      </c>
      <c r="D16" s="53">
        <f t="shared" si="0"/>
        <v>30</v>
      </c>
      <c r="E16" s="55"/>
      <c r="F16" s="128" t="s">
        <v>60</v>
      </c>
      <c r="G16" s="129"/>
      <c r="H16" s="22">
        <v>3</v>
      </c>
    </row>
    <row r="17" spans="1:8" ht="39" customHeight="1" x14ac:dyDescent="0.2">
      <c r="A17" s="126" t="s">
        <v>61</v>
      </c>
      <c r="B17" s="127"/>
      <c r="C17" s="53" t="s">
        <v>62</v>
      </c>
      <c r="D17" s="53">
        <f t="shared" si="0"/>
        <v>40</v>
      </c>
      <c r="E17" s="55"/>
      <c r="F17" s="128" t="s">
        <v>63</v>
      </c>
      <c r="G17" s="129"/>
      <c r="H17" s="22">
        <v>5</v>
      </c>
    </row>
    <row r="18" spans="1:8" ht="39" customHeight="1" x14ac:dyDescent="0.2">
      <c r="A18" s="126" t="s">
        <v>64</v>
      </c>
      <c r="B18" s="127"/>
      <c r="C18" s="56" t="s">
        <v>65</v>
      </c>
      <c r="D18" s="53">
        <f t="shared" si="0"/>
        <v>50</v>
      </c>
      <c r="E18" s="55"/>
      <c r="F18" s="128" t="s">
        <v>66</v>
      </c>
      <c r="G18" s="129"/>
      <c r="H18" s="22">
        <v>6</v>
      </c>
    </row>
    <row r="19" spans="1:8" ht="39" customHeight="1" x14ac:dyDescent="0.2">
      <c r="A19" s="126" t="s">
        <v>67</v>
      </c>
      <c r="B19" s="127"/>
      <c r="C19" s="56" t="s">
        <v>68</v>
      </c>
      <c r="D19" s="53">
        <f t="shared" si="0"/>
        <v>60</v>
      </c>
      <c r="E19" s="57"/>
      <c r="F19" s="130" t="s">
        <v>69</v>
      </c>
      <c r="G19" s="129"/>
      <c r="H19" s="22">
        <v>7</v>
      </c>
    </row>
    <row r="21" spans="1:8" x14ac:dyDescent="0.2">
      <c r="A21" s="23" t="s">
        <v>70</v>
      </c>
    </row>
  </sheetData>
  <sheetProtection selectLockedCells="1"/>
  <mergeCells count="16">
    <mergeCell ref="C1:E1"/>
    <mergeCell ref="C7:E7"/>
    <mergeCell ref="A12:B12"/>
    <mergeCell ref="F12:G12"/>
    <mergeCell ref="A14:B14"/>
    <mergeCell ref="F14:G14"/>
    <mergeCell ref="A18:B18"/>
    <mergeCell ref="F18:G18"/>
    <mergeCell ref="A19:B19"/>
    <mergeCell ref="F19:G19"/>
    <mergeCell ref="A15:B15"/>
    <mergeCell ref="F15:G15"/>
    <mergeCell ref="A16:B16"/>
    <mergeCell ref="F16:G16"/>
    <mergeCell ref="A17:B17"/>
    <mergeCell ref="F17:G17"/>
  </mergeCells>
  <pageMargins left="0.19685039370078741" right="0.19685039370078741" top="0.59055118110236227" bottom="0.19685039370078741" header="0.19685039370078741" footer="0.19685039370078741"/>
  <pageSetup paperSize="9" scale="83" fitToHeight="3" orientation="landscape" horizontalDpi="4294967293" r:id="rId1"/>
  <headerFooter alignWithMargins="0">
    <oddHeader>&amp;C&amp;"Times New Roman,Bold"&amp;20PROCESS FLOW CHART&amp;R&amp;P of &amp;N</oddHeader>
    <oddFooter>&amp;R&amp;F&amp;LUNIPART POWERTRAIN APPLICATIONS</oddFooter>
  </headerFooter>
  <drawing r:id="rId2"/>
  <legacyDrawing r:id="rId3"/>
  <oleObjects>
    <mc:AlternateContent xmlns:mc="http://schemas.openxmlformats.org/markup-compatibility/2006">
      <mc:Choice Requires="x14">
        <oleObject progId="FLW3Drawing" shapeId="4100" r:id="rId4">
          <objectPr defaultSize="0" autoPict="0" r:id="rId5">
            <anchor moveWithCells="1" sizeWithCells="1">
              <from>
                <xdr:col>5</xdr:col>
                <xdr:colOff>457200</xdr:colOff>
                <xdr:row>0</xdr:row>
                <xdr:rowOff>133350</xdr:rowOff>
              </from>
              <to>
                <xdr:col>5</xdr:col>
                <xdr:colOff>628650</xdr:colOff>
                <xdr:row>2</xdr:row>
                <xdr:rowOff>0</xdr:rowOff>
              </to>
            </anchor>
          </objectPr>
        </oleObject>
      </mc:Choice>
      <mc:Fallback>
        <oleObject progId="FLW3Drawing" shapeId="4100" r:id="rId4"/>
      </mc:Fallback>
    </mc:AlternateContent>
  </oleObjects>
  <controls>
    <mc:AlternateContent xmlns:mc="http://schemas.openxmlformats.org/markup-compatibility/2006">
      <mc:Choice Requires="x14">
        <control shapeId="4097" r:id="rId6" name="CommandButton1">
          <controlPr defaultSize="0" print="0" autoLine="0" r:id="rId7">
            <anchor moveWithCells="1" sizeWithCells="1">
              <from>
                <xdr:col>2</xdr:col>
                <xdr:colOff>38100</xdr:colOff>
                <xdr:row>6</xdr:row>
                <xdr:rowOff>0</xdr:rowOff>
              </from>
              <to>
                <xdr:col>2</xdr:col>
                <xdr:colOff>438150</xdr:colOff>
                <xdr:row>6</xdr:row>
                <xdr:rowOff>200025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print="0" autoLine="0" r:id="rId9">
            <anchor moveWithCells="1" sizeWithCells="1">
              <from>
                <xdr:col>2</xdr:col>
                <xdr:colOff>485775</xdr:colOff>
                <xdr:row>6</xdr:row>
                <xdr:rowOff>0</xdr:rowOff>
              </from>
              <to>
                <xdr:col>2</xdr:col>
                <xdr:colOff>952500</xdr:colOff>
                <xdr:row>6</xdr:row>
                <xdr:rowOff>190500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print="0" autoLine="0" r:id="rId11">
            <anchor moveWithCells="1" sizeWithCells="1">
              <from>
                <xdr:col>6</xdr:col>
                <xdr:colOff>819150</xdr:colOff>
                <xdr:row>6</xdr:row>
                <xdr:rowOff>9525</xdr:rowOff>
              </from>
              <to>
                <xdr:col>6</xdr:col>
                <xdr:colOff>1257300</xdr:colOff>
                <xdr:row>6</xdr:row>
                <xdr:rowOff>209550</xdr:rowOff>
              </to>
            </anchor>
          </controlPr>
        </control>
      </mc:Choice>
      <mc:Fallback>
        <control shapeId="4099" r:id="rId1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0"/>
  <sheetViews>
    <sheetView tabSelected="1" workbookViewId="0">
      <selection activeCell="O8" sqref="O8"/>
    </sheetView>
  </sheetViews>
  <sheetFormatPr defaultRowHeight="15" x14ac:dyDescent="0.25"/>
  <sheetData>
    <row r="1" spans="1:13" x14ac:dyDescent="0.25">
      <c r="A1" s="158" t="s">
        <v>0</v>
      </c>
      <c r="B1" s="149" t="s">
        <v>1</v>
      </c>
      <c r="C1" s="147" t="s">
        <v>2</v>
      </c>
      <c r="D1" s="160" t="s">
        <v>3</v>
      </c>
      <c r="E1" s="160" t="s">
        <v>4</v>
      </c>
      <c r="F1" s="147" t="s">
        <v>5</v>
      </c>
      <c r="G1" s="147" t="s">
        <v>6</v>
      </c>
      <c r="H1" s="149" t="s">
        <v>7</v>
      </c>
      <c r="I1" s="147" t="s">
        <v>8</v>
      </c>
      <c r="J1" s="151" t="s">
        <v>9</v>
      </c>
      <c r="K1" s="152"/>
      <c r="L1" s="147" t="s">
        <v>10</v>
      </c>
      <c r="M1" s="155" t="s">
        <v>11</v>
      </c>
    </row>
    <row r="2" spans="1:13" x14ac:dyDescent="0.25">
      <c r="A2" s="159"/>
      <c r="B2" s="150"/>
      <c r="C2" s="148"/>
      <c r="D2" s="160"/>
      <c r="E2" s="160"/>
      <c r="F2" s="148"/>
      <c r="G2" s="148"/>
      <c r="H2" s="150"/>
      <c r="I2" s="148"/>
      <c r="J2" s="153"/>
      <c r="K2" s="154"/>
      <c r="L2" s="148"/>
      <c r="M2" s="156"/>
    </row>
    <row r="3" spans="1:13" x14ac:dyDescent="0.25">
      <c r="A3" s="159"/>
      <c r="B3" s="150"/>
      <c r="C3" s="148"/>
      <c r="D3" s="160"/>
      <c r="E3" s="160"/>
      <c r="F3" s="148"/>
      <c r="G3" s="148"/>
      <c r="H3" s="150"/>
      <c r="I3" s="148"/>
      <c r="J3" s="157" t="s">
        <v>12</v>
      </c>
      <c r="K3" s="157" t="s">
        <v>10</v>
      </c>
      <c r="L3" s="148"/>
      <c r="M3" s="156"/>
    </row>
    <row r="4" spans="1:13" x14ac:dyDescent="0.25">
      <c r="A4" s="159"/>
      <c r="B4" s="150"/>
      <c r="C4" s="148"/>
      <c r="D4" s="161"/>
      <c r="E4" s="161"/>
      <c r="F4" s="148"/>
      <c r="G4" s="148"/>
      <c r="H4" s="150"/>
      <c r="I4" s="148"/>
      <c r="J4" s="157"/>
      <c r="K4" s="157"/>
      <c r="L4" s="148"/>
      <c r="M4" s="156"/>
    </row>
    <row r="5" spans="1:13" x14ac:dyDescent="0.25">
      <c r="A5" s="1"/>
      <c r="B5" s="2"/>
      <c r="C5" s="1"/>
      <c r="D5" s="3"/>
      <c r="E5" s="2"/>
      <c r="F5" s="1"/>
      <c r="G5" s="1"/>
      <c r="H5" s="2"/>
      <c r="I5" s="4"/>
      <c r="J5" s="5" t="s">
        <v>13</v>
      </c>
      <c r="K5" s="5" t="s">
        <v>13</v>
      </c>
      <c r="L5" s="4">
        <v>10</v>
      </c>
      <c r="M5" s="6"/>
    </row>
    <row r="6" spans="1:13" x14ac:dyDescent="0.25">
      <c r="A6" s="7"/>
      <c r="B6" s="7"/>
      <c r="C6" s="7"/>
      <c r="D6" s="7"/>
      <c r="E6" s="8"/>
      <c r="F6" s="7"/>
      <c r="G6" s="7"/>
      <c r="H6" s="8"/>
      <c r="I6" s="7"/>
      <c r="J6" s="9"/>
      <c r="K6" s="9"/>
      <c r="L6" s="7"/>
      <c r="M6" s="7"/>
    </row>
    <row r="7" spans="1:13" ht="105" x14ac:dyDescent="0.25">
      <c r="A7" s="145">
        <f>'[1]Process Flow'!D6</f>
        <v>0</v>
      </c>
      <c r="B7" s="144" t="str">
        <f>IF(ISBLANK('[1]Process Flow'!F6),"",'[1]Process Flow'!F6)</f>
        <v>Sheet</v>
      </c>
      <c r="C7" s="145">
        <f>A7</f>
        <v>0</v>
      </c>
      <c r="D7" s="143" t="s">
        <v>14</v>
      </c>
      <c r="E7" s="144" t="str">
        <f>IF('[1]Effects Matrix'!Y3="","",'[1]Effects Matrix'!Y3)&amp;IF('[1]Effects Matrix'!Y4="","",'[1]Effects Matrix'!Y4)&amp;IF('[1]Effects Matrix'!Y5="","",'[1]Effects Matrix'!Y5)&amp;IF('[1]Effects Matrix'!Y6="","",'[1]Effects Matrix'!Y6)</f>
        <v/>
      </c>
      <c r="F7" s="145" t="str">
        <f>IF(SUM('[1]Effects Matrix'!Z3:Z6)&gt;0,MAX('[1]Effects Matrix'!D3:X6),"")</f>
        <v/>
      </c>
      <c r="G7" s="1" t="str">
        <f>IF(ISNONTEXT(F7),IF(AND(F7&gt;SUM(VLOOKUP(CHAR(88),[1]Header!C$33:P$35,2,FALSE)-1),I7&gt;SUM(VLOOKUP(CHAR(88),[1]Header!C$33:P$35,4,FALSE)-1),L7&gt;SUM(VLOOKUP(CHAR(88),[1]Header!C$33:P$35,6,FALSE)-1)),VLOOKUP(CHAR(88),[1]Header!C$33:P$35,13,FALSE),IF(AND(F7&gt;SUM(VLOOKUP(CHAR(88),[1]Header!C$33:P$35,8,FALSE)-1),F7&lt;SUM(VLOOKUP(CHAR(88),[1]Header!C$33:P$35,9,FALSE)+1),I7&gt;SUM(VLOOKUP(CHAR(88),[1]Header!C$33:P$35,11,FALSE)-1),L7&gt;SUM(VLOOKUP(CHAR(88),[1]Header!C$33:P$35,12,FALSE)-1)),VLOOKUP(CHAR(88),[1]Header!C$33:P$35,14,FALSE),"OTH"))," ")</f>
        <v xml:space="preserve"> </v>
      </c>
      <c r="H7" s="2" t="e">
        <f>IF(ISBLANK([1]FB1!#REF!),"",[1]FB1!#REF!)</f>
        <v>#REF!</v>
      </c>
      <c r="I7" s="4">
        <v>2</v>
      </c>
      <c r="J7" s="5" t="s">
        <v>15</v>
      </c>
      <c r="K7" s="5" t="s">
        <v>16</v>
      </c>
      <c r="L7" s="4">
        <v>5</v>
      </c>
      <c r="M7" s="6">
        <f>IF(ISTEXT(F$15),"",F$15*I7*L7)</f>
        <v>70</v>
      </c>
    </row>
    <row r="8" spans="1:13" ht="105" x14ac:dyDescent="0.25">
      <c r="A8" s="145"/>
      <c r="B8" s="144"/>
      <c r="C8" s="145"/>
      <c r="D8" s="144"/>
      <c r="E8" s="144"/>
      <c r="F8" s="145"/>
      <c r="G8" s="1" t="str">
        <f>IF(ISNONTEXT(F7),IF(AND(F7&gt;SUM(VLOOKUP(CHAR(88),[1]Header!$C$33:$P$35,2,FALSE)-1),I8&gt;SUM(VLOOKUP(CHAR(88),[1]Header!$C$33:$P$35,4,FALSE)-1),L8&gt;SUM(VLOOKUP(CHAR(88),[1]Header!$C$33:$P$35,6,FALSE)-1)),VLOOKUP(CHAR(88),[1]Header!$C$33:$P$35,13,FALSE),IF(AND(F7&gt;SUM(VLOOKUP(CHAR(88),[1]Header!$C$33:$P$35,8,FALSE)-1),F7&lt;SUM(VLOOKUP(CHAR(88),[1]Header!$C$33:$P$35,9,FALSE)+1),I8&gt;SUM(VLOOKUP(CHAR(88),[1]Header!$C$33:$P$35,11,FALSE)-1),L8&gt;SUM(VLOOKUP(CHAR(88),[1]Header!$C$33:$P$35,12,FALSE)-1)),VLOOKUP(CHAR(88),[1]Header!$C$33:$P$35,14,FALSE),"OTH"))," ")</f>
        <v xml:space="preserve"> </v>
      </c>
      <c r="H8" s="2" t="str">
        <f>[1]FB1!$L$5</f>
        <v>Worn broken tooling</v>
      </c>
      <c r="I8" s="4">
        <v>2</v>
      </c>
      <c r="J8" s="5" t="s">
        <v>15</v>
      </c>
      <c r="K8" s="5" t="s">
        <v>16</v>
      </c>
      <c r="L8" s="4">
        <v>5</v>
      </c>
      <c r="M8" s="6">
        <f>IF(ISTEXT(F$15),"",F$15*I8*L8)</f>
        <v>70</v>
      </c>
    </row>
    <row r="9" spans="1:13" ht="76.5" x14ac:dyDescent="0.25">
      <c r="A9" s="145"/>
      <c r="B9" s="144"/>
      <c r="C9" s="145"/>
      <c r="D9" s="146" t="s">
        <v>17</v>
      </c>
      <c r="E9" s="142" t="str">
        <f>IF('[1]Effects Matrix'!Y7="","",'[1]Effects Matrix'!Y7)&amp;IF('[1]Effects Matrix'!Y8="","",'[1]Effects Matrix'!Y8)&amp;IF('[1]Effects Matrix'!Y9="","",'[1]Effects Matrix'!Y9)&amp;IF('[1]Effects Matrix'!Y10="","",'[1]Effects Matrix'!Y10)</f>
        <v/>
      </c>
      <c r="F9" s="141" t="str">
        <f>IF(SUM('[1]Effects Matrix'!Z7:Z10)&gt;0,MAX('[1]Effects Matrix'!D7:X10)," ")</f>
        <v xml:space="preserve"> </v>
      </c>
      <c r="G9" s="1" t="str">
        <f>IF(ISNONTEXT(F9),IF(AND(F9&gt;SUM(VLOOKUP(CHAR(88),[1]Header!C25:P27,2,FALSE)-1),I9&gt;SUM(VLOOKUP(CHAR(88),[1]Header!$C$33:$P$35,4,FALSE)-1),L9&gt;SUM(VLOOKUP(CHAR(88),[1]Header!C25:P27,6,FALSE)-1)),VLOOKUP(CHAR(88),[1]Header!$C$33:$P$35,13,FALSE),IF(AND(F9&gt;SUM(VLOOKUP(CHAR(88),[1]Header!C25:P27,8,FALSE)-1),F9&lt;SUM(VLOOKUP(CHAR(88),[1]Header!C25:P27,9,FALSE)+1),I9&gt;SUM(VLOOKUP(CHAR(88),[1]Header!C25:P27,11,FALSE)-1),L9&gt;SUM(VLOOKUP(CHAR(88),[1]Header!C25:P27,12,FALSE)-1)),VLOOKUP(CHAR(88),[1]Header!C25:P27,14,FALSE),"OTH"))," ")</f>
        <v xml:space="preserve"> </v>
      </c>
      <c r="H9" s="2" t="str">
        <f>IF(ISBLANK([1]FB1a1!C$5)," ",[1]FB1a1!C$5)</f>
        <v>Incorrect settings</v>
      </c>
      <c r="I9" s="4">
        <v>1</v>
      </c>
      <c r="J9" s="5" t="s">
        <v>15</v>
      </c>
      <c r="K9" s="10" t="s">
        <v>18</v>
      </c>
      <c r="L9" s="4">
        <v>1</v>
      </c>
      <c r="M9" s="6">
        <f>IF(ISTEXT(F$17)," ",F$17*I9*L9)</f>
        <v>8</v>
      </c>
    </row>
    <row r="10" spans="1:13" ht="76.5" x14ac:dyDescent="0.25">
      <c r="A10" s="145"/>
      <c r="B10" s="144"/>
      <c r="C10" s="145"/>
      <c r="D10" s="142"/>
      <c r="E10" s="142"/>
      <c r="F10" s="141"/>
      <c r="G10" s="1" t="str">
        <f>IF(ISNONTEXT(F9),IF(AND(F9&gt;SUM(VLOOKUP(CHAR(88),[1]Header!$C$33:$P$35,2,FALSE)-1),I10&gt;SUM(VLOOKUP(CHAR(88),[1]Header!$C$33:$P$35,4,FALSE)-1),L10&gt;SUM(VLOOKUP(CHAR(88),[1]Header!$C$33:$P$35,6,FALSE)-1)),VLOOKUP(CHAR(88),[1]Header!$C$33:$P$35,13,FALSE),IF(AND(F9&gt;SUM(VLOOKUP(CHAR(88),[1]Header!$C$33:$P$35,8,FALSE)-1),F9&lt;SUM(VLOOKUP(CHAR(88),[1]Header!$C$33:$P$35,9,FALSE)+1),I10&gt;SUM(VLOOKUP(CHAR(88),[1]Header!$C$33:$P$35,11,FALSE)-1),L10&gt;SUM(VLOOKUP(CHAR(88),[1]Header!$C$33:$P$35,12,FALSE)-1)),VLOOKUP(CHAR(88),[1]Header!$C$33:$P$35,14,FALSE),"OTH"))," ")</f>
        <v xml:space="preserve"> </v>
      </c>
      <c r="H10" s="2" t="str">
        <f>[1]FB1a1!$L$5</f>
        <v>Worn / broken tooling</v>
      </c>
      <c r="I10" s="4">
        <v>1</v>
      </c>
      <c r="J10" s="5" t="s">
        <v>15</v>
      </c>
      <c r="K10" s="10" t="s">
        <v>18</v>
      </c>
      <c r="L10" s="4">
        <v>1</v>
      </c>
      <c r="M10" s="6">
        <f>IF(ISTEXT(F$17)," ",F$17*I10*L10)</f>
        <v>8</v>
      </c>
    </row>
    <row r="11" spans="1:13" ht="60" x14ac:dyDescent="0.25">
      <c r="A11" s="145"/>
      <c r="B11" s="144"/>
      <c r="C11" s="145"/>
      <c r="D11" s="146" t="s">
        <v>19</v>
      </c>
      <c r="E11" s="142" t="str">
        <f>IF('[1]Effects Matrix'!Y11="","",'[1]Effects Matrix'!Y11)&amp;IF('[1]Effects Matrix'!Y12="","",'[1]Effects Matrix'!Y12)&amp;IF('[1]Effects Matrix'!Y13="","",'[1]Effects Matrix'!Y13)&amp;IF('[1]Effects Matrix'!Y14="","",'[1]Effects Matrix'!Y14)</f>
        <v xml:space="preserve">Unable to fit and weld parts in robot fixture (8)
Unable to fit system on vehicle (8)
</v>
      </c>
      <c r="F11" s="141">
        <f>IF(SUM('[1]Effects Matrix'!Z11:Z14)&gt;0,MAX('[1]Effects Matrix'!D11:X14)," ")</f>
        <v>8</v>
      </c>
      <c r="G11" s="1" t="e">
        <f>IF(ISNONTEXT(F11),IF(AND(F11&gt;SUM(VLOOKUP(CHAR(88),[1]Header!C25:P27,2,FALSE)-1),I11&gt;SUM(VLOOKUP(CHAR(88),[1]Header!$C$33:$P$35,4,FALSE)-1),L11&gt;SUM(VLOOKUP(CHAR(88),[1]Header!C25:P27,6,FALSE)-1)),VLOOKUP(CHAR(88),[1]Header!$C$33:$P$35,13,FALSE),IF(AND(F11&gt;SUM(VLOOKUP(CHAR(88),[1]Header!C25:P27,8,FALSE)-1),F11&lt;SUM(VLOOKUP(CHAR(88),[1]Header!C25:P27,9,FALSE)+1),I11&gt;SUM(VLOOKUP(CHAR(88),[1]Header!C25:P27,11,FALSE)-1),L11&gt;SUM(VLOOKUP(CHAR(88),[1]Header!C25:P27,12,FALSE)-1)),VLOOKUP(CHAR(88),[1]Header!C25:P27,14,FALSE),"OTH"))," ")</f>
        <v>#N/A</v>
      </c>
      <c r="H11" s="2" t="str">
        <f>IF(ISBLANK([1]FB1a2!C$5)," ",[1]FB1a2!C$5)</f>
        <v>Incorrect setting</v>
      </c>
      <c r="I11" s="4">
        <v>2</v>
      </c>
      <c r="J11" s="5" t="s">
        <v>15</v>
      </c>
      <c r="K11" s="5" t="s">
        <v>20</v>
      </c>
      <c r="L11" s="4">
        <v>7</v>
      </c>
      <c r="M11" s="6">
        <f>IF(ISTEXT(F$19)," ",F$19*I11*L11)</f>
        <v>126</v>
      </c>
    </row>
    <row r="12" spans="1:13" ht="60" x14ac:dyDescent="0.25">
      <c r="A12" s="145"/>
      <c r="B12" s="144"/>
      <c r="C12" s="145"/>
      <c r="D12" s="142"/>
      <c r="E12" s="142"/>
      <c r="F12" s="141"/>
      <c r="G12" s="1" t="str">
        <f>IF(ISNONTEXT(F11),IF(AND(F11&gt;SUM(VLOOKUP(CHAR(88),[1]Header!$C$33:$P$35,2,FALSE)-1),I12&gt;SUM(VLOOKUP(CHAR(88),[1]Header!$C$33:$P$35,4,FALSE)-1),L12&gt;SUM(VLOOKUP(CHAR(88),[1]Header!$C$33:$P$35,6,FALSE)-1)),VLOOKUP(CHAR(88),[1]Header!$C$33:$P$35,13,FALSE),IF(AND(F11&gt;SUM(VLOOKUP(CHAR(88),[1]Header!$C$33:$P$35,8,FALSE)-1),F11&lt;SUM(VLOOKUP(CHAR(88),[1]Header!$C$33:$P$35,9,FALSE)+1),I12&gt;SUM(VLOOKUP(CHAR(88),[1]Header!$C$33:$P$35,11,FALSE)-1),L12&gt;SUM(VLOOKUP(CHAR(88),[1]Header!$C$33:$P$35,12,FALSE)-1)),VLOOKUP(CHAR(88),[1]Header!$C$33:$P$35,14,FALSE),"OTH"))," ")</f>
        <v>OTH</v>
      </c>
      <c r="H12" s="2" t="str">
        <f>[1]FB1a2!$L$5</f>
        <v>Worn / broken tooling</v>
      </c>
      <c r="I12" s="4">
        <v>2</v>
      </c>
      <c r="J12" s="5" t="s">
        <v>15</v>
      </c>
      <c r="K12" s="5" t="s">
        <v>20</v>
      </c>
      <c r="L12" s="4">
        <v>7</v>
      </c>
      <c r="M12" s="6">
        <f>IF(ISTEXT(F$19)," ",F$19*I12*L12)</f>
        <v>126</v>
      </c>
    </row>
    <row r="13" spans="1:13" ht="105" x14ac:dyDescent="0.25">
      <c r="A13" s="141">
        <f>'[1]Process Flow'!D7</f>
        <v>0</v>
      </c>
      <c r="B13" s="142" t="str">
        <f>IF(ISBLANK('[1]Process Flow'!F7),"",'[1]Process Flow'!F7)</f>
        <v/>
      </c>
      <c r="C13" s="141">
        <f>A13</f>
        <v>0</v>
      </c>
      <c r="D13" s="146" t="s">
        <v>21</v>
      </c>
      <c r="E13" s="142" t="str">
        <f>IF('[1]Effects Matrix'!Y15="","",'[1]Effects Matrix'!Y15)&amp;IF('[1]Effects Matrix'!Y16="","",'[1]Effects Matrix'!Y16)&amp;IF('[1]Effects Matrix'!Y17="","",'[1]Effects Matrix'!Y17)&amp;IF('[1]Effects Matrix'!Y18="","",'[1]Effects Matrix'!Y18)</f>
        <v xml:space="preserve">Will fail leak test downstream (8)
Fuel leak at customer (10)
</v>
      </c>
      <c r="F13" s="141">
        <f>IF(SUM('[1]Effects Matrix'!Z15:Z18)&gt;0,MAX('[1]Effects Matrix'!D15:X18),"")</f>
        <v>10</v>
      </c>
      <c r="G13" s="1" t="str">
        <f>IF(ISNONTEXT(F13),IF(AND(F13&gt;SUM(VLOOKUP(CHAR(88),[1]Header!C$33:P$35,2,FALSE)-1),I13&gt;SUM(VLOOKUP(CHAR(88),[1]Header!C$33:P$35,4,FALSE)-1),L13&gt;SUM(VLOOKUP(CHAR(88),[1]Header!C$33:P$35,6,FALSE)-1)),VLOOKUP(CHAR(88),[1]Header!C$33:P$35,13,FALSE),IF(AND(F13&gt;SUM(VLOOKUP(CHAR(88),[1]Header!C$33:P$35,8,FALSE)-1),F13&lt;SUM(VLOOKUP(CHAR(88),[1]Header!C$33:P$35,9,FALSE)+1),I13&gt;SUM(VLOOKUP(CHAR(88),[1]Header!C$33:P$35,11,FALSE)-1),L13&gt;SUM(VLOOKUP(CHAR(88),[1]Header!C$33:P$35,12,FALSE)-1)),VLOOKUP(CHAR(88),[1]Header!C$33:P$35,14,FALSE),"OTH"))," ")</f>
        <v>CC</v>
      </c>
      <c r="H13" s="2" t="e">
        <f>IF(ISBLANK([1]FB2!#REF!),"",[1]FB2!#REF!)</f>
        <v>#REF!</v>
      </c>
      <c r="I13" s="4">
        <v>2</v>
      </c>
      <c r="J13" s="5" t="s">
        <v>15</v>
      </c>
      <c r="K13" s="5" t="s">
        <v>16</v>
      </c>
      <c r="L13" s="4">
        <v>5</v>
      </c>
      <c r="M13" s="6">
        <f>IF(ISTEXT(F$21),"",F$21*I13*L13)</f>
        <v>50</v>
      </c>
    </row>
    <row r="14" spans="1:13" ht="105" x14ac:dyDescent="0.25">
      <c r="A14" s="141"/>
      <c r="B14" s="142"/>
      <c r="C14" s="141"/>
      <c r="D14" s="142"/>
      <c r="E14" s="142"/>
      <c r="F14" s="141"/>
      <c r="G14" s="1" t="str">
        <f>IF(ISNONTEXT(F13),IF(AND(F13&gt;SUM(VLOOKUP(CHAR(88),[1]Header!$C$33:$P$35,2,FALSE)-1),I14&gt;SUM(VLOOKUP(CHAR(88),[1]Header!$C$33:$P$35,4,FALSE)-1),L14&gt;SUM(VLOOKUP(CHAR(88),[1]Header!$C$33:$P$35,6,FALSE)-1)),VLOOKUP(CHAR(88),[1]Header!$C$33:$P$35,13,FALSE),IF(AND(F13&gt;SUM(VLOOKUP(CHAR(88),[1]Header!$C$33:$P$35,8,FALSE)-1),F13&lt;SUM(VLOOKUP(CHAR(88),[1]Header!$C$33:$P$35,9,FALSE)+1),I14&gt;SUM(VLOOKUP(CHAR(88),[1]Header!$C$33:$P$35,11,FALSE)-1),L14&gt;SUM(VLOOKUP(CHAR(88),[1]Header!$C$33:$P$35,12,FALSE)-1)),VLOOKUP(CHAR(88),[1]Header!$C$33:$P$35,14,FALSE),"OTH"))," ")</f>
        <v>CC</v>
      </c>
      <c r="H14" s="2" t="str">
        <f>[1]FB2!$L$5</f>
        <v>Incorrect set-up</v>
      </c>
      <c r="I14" s="4">
        <v>3</v>
      </c>
      <c r="J14" s="5" t="s">
        <v>15</v>
      </c>
      <c r="K14" s="5" t="s">
        <v>16</v>
      </c>
      <c r="L14" s="4">
        <v>5</v>
      </c>
      <c r="M14" s="6">
        <f>IF(ISTEXT(F$21),"",F$21*I14*L14)</f>
        <v>75</v>
      </c>
    </row>
    <row r="15" spans="1:13" ht="105" x14ac:dyDescent="0.25">
      <c r="A15" s="141"/>
      <c r="B15" s="142"/>
      <c r="C15" s="141"/>
      <c r="D15" s="146" t="s">
        <v>22</v>
      </c>
      <c r="E15" s="142" t="str">
        <f>IF('[1]Effects Matrix'!Y19="","",'[1]Effects Matrix'!Y19)&amp;IF('[1]Effects Matrix'!Y20="","",'[1]Effects Matrix'!Y20)&amp;IF('[1]Effects Matrix'!Y21="","",'[1]Effects Matrix'!Y21)&amp;IF('[1]Effects Matrix'!Y22="","",'[1]Effects Matrix'!Y22)</f>
        <v xml:space="preserve">Fill restrictions (7)
</v>
      </c>
      <c r="F15" s="141">
        <f>IF(SUM('[1]Effects Matrix'!Z19:Z22)&gt;0,MAX('[1]Effects Matrix'!D19:X22)," ")</f>
        <v>7</v>
      </c>
      <c r="G15" s="1" t="e">
        <f>IF(ISNONTEXT(F15),IF(AND(F15&gt;SUM(VLOOKUP(CHAR(88),[1]Header!C25:P27,2,FALSE)-1),I15&gt;SUM(VLOOKUP(CHAR(88),[1]Header!$C$33:$P$35,4,FALSE)-1),L15&gt;SUM(VLOOKUP(CHAR(88),[1]Header!C25:P27,6,FALSE)-1)),VLOOKUP(CHAR(88),[1]Header!$C$33:$P$35,13,FALSE),IF(AND(F15&gt;SUM(VLOOKUP(CHAR(88),[1]Header!C25:P27,8,FALSE)-1),F15&lt;SUM(VLOOKUP(CHAR(88),[1]Header!C25:P27,9,FALSE)+1),I15&gt;SUM(VLOOKUP(CHAR(88),[1]Header!C25:P27,11,FALSE)-1),L15&gt;SUM(VLOOKUP(CHAR(88),[1]Header!C25:P27,12,FALSE)-1)),VLOOKUP(CHAR(88),[1]Header!C25:P27,14,FALSE),"OTH"))," ")</f>
        <v>#N/A</v>
      </c>
      <c r="H15" s="2" t="str">
        <f>IF(ISBLANK([1]FB2a1!C$5)," ",[1]FB2a1!C$5)</f>
        <v>Saw fixture tooling worn / broken</v>
      </c>
      <c r="I15" s="4">
        <v>2</v>
      </c>
      <c r="J15" s="5" t="s">
        <v>15</v>
      </c>
      <c r="K15" s="5" t="s">
        <v>16</v>
      </c>
      <c r="L15" s="4">
        <v>5</v>
      </c>
      <c r="M15" s="6">
        <f>IF(ISTEXT(F$23)," ",F$23*I15*L15)</f>
        <v>80</v>
      </c>
    </row>
    <row r="16" spans="1:13" ht="105" x14ac:dyDescent="0.25">
      <c r="A16" s="141"/>
      <c r="B16" s="142"/>
      <c r="C16" s="141"/>
      <c r="D16" s="142"/>
      <c r="E16" s="142"/>
      <c r="F16" s="141"/>
      <c r="G16" s="1" t="str">
        <f>IF(ISNONTEXT(F15),IF(AND(F15&gt;SUM(VLOOKUP(CHAR(88),[1]Header!$C$33:$P$35,2,FALSE)-1),I16&gt;SUM(VLOOKUP(CHAR(88),[1]Header!$C$33:$P$35,4,FALSE)-1),L16&gt;SUM(VLOOKUP(CHAR(88),[1]Header!$C$33:$P$35,6,FALSE)-1)),VLOOKUP(CHAR(88),[1]Header!$C$33:$P$35,13,FALSE),IF(AND(F15&gt;SUM(VLOOKUP(CHAR(88),[1]Header!$C$33:$P$35,8,FALSE)-1),F15&lt;SUM(VLOOKUP(CHAR(88),[1]Header!$C$33:$P$35,9,FALSE)+1),I16&gt;SUM(VLOOKUP(CHAR(88),[1]Header!$C$33:$P$35,11,FALSE)-1),L16&gt;SUM(VLOOKUP(CHAR(88),[1]Header!$C$33:$P$35,12,FALSE)-1)),VLOOKUP(CHAR(88),[1]Header!$C$33:$P$35,14,FALSE),"OTH"))," ")</f>
        <v>OTH</v>
      </c>
      <c r="H16" s="2" t="str">
        <f>[1]FB2a1!$L$5</f>
        <v>Incorrect set-up</v>
      </c>
      <c r="I16" s="4">
        <v>3</v>
      </c>
      <c r="J16" s="5" t="s">
        <v>15</v>
      </c>
      <c r="K16" s="5" t="s">
        <v>16</v>
      </c>
      <c r="L16" s="4">
        <v>5</v>
      </c>
      <c r="M16" s="6">
        <f>IF(ISTEXT(F$23)," ",F$23*I16*L16)</f>
        <v>120</v>
      </c>
    </row>
    <row r="17" spans="1:13" ht="210" x14ac:dyDescent="0.25">
      <c r="A17" s="141">
        <f>'[1]Process Flow'!D8</f>
        <v>0</v>
      </c>
      <c r="B17" s="141" t="str">
        <f>IF(ISBLANK('[1]Process Flow'!$F8)," ",'[1]Process Flow'!$F8)</f>
        <v xml:space="preserve"> </v>
      </c>
      <c r="C17" s="141">
        <f>A17</f>
        <v>0</v>
      </c>
      <c r="D17" s="3" t="s">
        <v>23</v>
      </c>
      <c r="E17" s="2" t="str">
        <f>IF('[1]Effects Matrix'!Y23="","",'[1]Effects Matrix'!Y23)&amp;IF('[1]Effects Matrix'!Y24="","",'[1]Effects Matrix'!Y24)&amp;IF('[1]Effects Matrix'!Y25="","",'[1]Effects Matrix'!Y25)&amp;IF('[1]Effects Matrix'!Y26="","",'[1]Effects Matrix'!Y26)</f>
        <v xml:space="preserve">Too short will result in non-fitment with upper pipe on operation downstream (8)
</v>
      </c>
      <c r="F17" s="1">
        <f>IF(SUM('[1]Effects Matrix'!Z23:Z26)&gt;0,MAX('[1]Effects Matrix'!D23:X26)," ")</f>
        <v>8</v>
      </c>
      <c r="G17" s="1" t="e">
        <f>IF(ISNONTEXT(F17),IF(AND(F17&gt;SUM(VLOOKUP(CHAR(88),[1]Header!C25:P27,2,FALSE)-1),I17&gt;SUM(VLOOKUP(CHAR(88),[1]Header!$C$33:$P$35,4,FALSE)-1),L17&gt;SUM(VLOOKUP(CHAR(88),[1]Header!C25:P27,6,FALSE)-1)),VLOOKUP(CHAR(88),[1]Header!$C$33:$P$35,13,FALSE),IF(AND(F17&gt;SUM(VLOOKUP(CHAR(88),[1]Header!C25:P27,8,FALSE)-1),F17&lt;SUM(VLOOKUP(CHAR(88),[1]Header!C25:P27,9,FALSE)+1),I17&gt;SUM(VLOOKUP(CHAR(88),[1]Header!C25:P27,11,FALSE)-1),L17&gt;SUM(VLOOKUP(CHAR(88),[1]Header!C25:P27,12,FALSE)-1)),VLOOKUP(CHAR(88),[1]Header!C25:P27,14,FALSE),"OTH"))," ")</f>
        <v>#N/A</v>
      </c>
      <c r="H17" s="2" t="str">
        <f>IF(ISBLANK([1]FB3!C$5)," ",[1]FB3!C$5)</f>
        <v>Missed operation</v>
      </c>
      <c r="I17" s="4">
        <v>4</v>
      </c>
      <c r="J17" s="5" t="s">
        <v>15</v>
      </c>
      <c r="K17" s="10" t="s">
        <v>24</v>
      </c>
      <c r="L17" s="4">
        <v>7</v>
      </c>
      <c r="M17" s="6">
        <f>IF(ISTEXT(F$25)," ",F$25*I17*L17)</f>
        <v>140</v>
      </c>
    </row>
    <row r="18" spans="1:13" ht="210" x14ac:dyDescent="0.25">
      <c r="A18" s="141"/>
      <c r="B18" s="141"/>
      <c r="C18" s="141"/>
      <c r="D18" s="11" t="s">
        <v>25</v>
      </c>
      <c r="E18" s="2" t="str">
        <f>IF('[1]Effects Matrix'!Y27="","",'[1]Effects Matrix'!Y27)&amp;IF('[1]Effects Matrix'!Y28="","",'[1]Effects Matrix'!Y28)&amp;IF('[1]Effects Matrix'!Y29="","",'[1]Effects Matrix'!Y29)&amp;IF('[1]Effects Matrix'!Y30="","",'[1]Effects Matrix'!Y30)</f>
        <v xml:space="preserve">Too long will result in poor fitment with upper pipe and weld on operation downstream (8)
</v>
      </c>
      <c r="F18" s="1">
        <f>IF(SUM('[1]Effects Matrix'!Z27:Z30)&gt;0,MAX('[1]Effects Matrix'!D27:X30)," ")</f>
        <v>8</v>
      </c>
      <c r="G18" s="1" t="e">
        <f>IF(ISNONTEXT(F18),IF(AND(F18&gt;SUM(VLOOKUP(CHAR(88),[1]Header!C25:P27,2,FALSE)-1),I18&gt;SUM(VLOOKUP(CHAR(88),[1]Header!$C$33:$P$35,4,FALSE)-1),L18&gt;SUM(VLOOKUP(CHAR(88),[1]Header!C25:P27,6,FALSE)-1)),VLOOKUP(CHAR(88),[1]Header!$C$33:$P$35,13,FALSE),IF(AND(F18&gt;SUM(VLOOKUP(CHAR(88),[1]Header!C25:P27,8,FALSE)-1),F18&lt;SUM(VLOOKUP(CHAR(88),[1]Header!C25:P27,9,FALSE)+1),I18&gt;SUM(VLOOKUP(CHAR(88),[1]Header!C25:P27,11,FALSE)-1),L18&gt;SUM(VLOOKUP(CHAR(88),[1]Header!C25:P27,12,FALSE)-1)),VLOOKUP(CHAR(88),[1]Header!C25:P27,14,FALSE),"OTH"))," ")</f>
        <v>#N/A</v>
      </c>
      <c r="H18" s="2" t="str">
        <f>IF(ISBLANK([1]FB3a1!C$5)," ",[1]FB3a1!C$5)</f>
        <v>Worn tooling</v>
      </c>
      <c r="I18" s="4">
        <v>4</v>
      </c>
      <c r="J18" s="5" t="s">
        <v>15</v>
      </c>
      <c r="K18" s="10" t="s">
        <v>24</v>
      </c>
      <c r="L18" s="4">
        <v>7</v>
      </c>
      <c r="M18" s="6">
        <f>IF(ISTEXT(F$26)," ",F$26*I18*L18)</f>
        <v>0</v>
      </c>
    </row>
    <row r="19" spans="1:13" ht="135" x14ac:dyDescent="0.25">
      <c r="A19" s="141">
        <f>'[1]Process Flow'!D9</f>
        <v>0</v>
      </c>
      <c r="B19" s="141" t="str">
        <f>IF(ISBLANK('[1]Process Flow'!$F9)," ",'[1]Process Flow'!$F9)</f>
        <v xml:space="preserve"> </v>
      </c>
      <c r="C19" s="141">
        <f>A19</f>
        <v>0</v>
      </c>
      <c r="D19" s="3" t="s">
        <v>26</v>
      </c>
      <c r="E19" s="2" t="str">
        <f>IF('[1]Effects Matrix'!Y31="","",'[1]Effects Matrix'!Y31)&amp;IF('[1]Effects Matrix'!Y32="","",'[1]Effects Matrix'!Y32)&amp;IF('[1]Effects Matrix'!Y33="","",'[1]Effects Matrix'!Y33)&amp;IF('[1]Effects Matrix'!Y34="","",'[1]Effects Matrix'!Y34)</f>
        <v xml:space="preserve">H&amp;S concern  (9)
Non fitment with upper pipe (5)
</v>
      </c>
      <c r="F19" s="1">
        <f>IF(SUM('[1]Effects Matrix'!Z31:Z34)&gt;0,MAX('[1]Effects Matrix'!D31:X34)," ")</f>
        <v>9</v>
      </c>
      <c r="G19" s="1" t="e">
        <f>IF(ISNONTEXT(F19),IF(AND(F19&gt;SUM(VLOOKUP(CHAR(88),[1]Header!C25:P27,2,FALSE)-1),I19&gt;SUM(VLOOKUP(CHAR(88),[1]Header!$C$33:$P$35,4,FALSE)-1),L19&gt;SUM(VLOOKUP(CHAR(88),[1]Header!C25:P27,6,FALSE)-1)),VLOOKUP(CHAR(88),[1]Header!$C$33:$P$35,13,FALSE),IF(AND(F19&gt;SUM(VLOOKUP(CHAR(88),[1]Header!C25:P27,8,FALSE)-1),F19&lt;SUM(VLOOKUP(CHAR(88),[1]Header!C25:P27,9,FALSE)+1),I19&gt;SUM(VLOOKUP(CHAR(88),[1]Header!C25:P27,11,FALSE)-1),L19&gt;SUM(VLOOKUP(CHAR(88),[1]Header!C25:P27,12,FALSE)-1)),VLOOKUP(CHAR(88),[1]Header!C25:P27,14,FALSE),"OTH"))," ")</f>
        <v>#N/A</v>
      </c>
      <c r="H19" s="2" t="str">
        <f>IF(ISBLANK([1]FB5!C$5)," ",[1]FB5!C$5)</f>
        <v>Missed operation</v>
      </c>
      <c r="I19" s="4">
        <v>1</v>
      </c>
      <c r="J19" s="5" t="s">
        <v>15</v>
      </c>
      <c r="K19" s="10" t="s">
        <v>27</v>
      </c>
      <c r="L19" s="4">
        <v>3</v>
      </c>
      <c r="M19" s="6">
        <f>IF(ISTEXT(F$27)," ",F$27*I19*L19)</f>
        <v>27</v>
      </c>
    </row>
    <row r="20" spans="1:13" ht="135" x14ac:dyDescent="0.25">
      <c r="A20" s="141"/>
      <c r="B20" s="141"/>
      <c r="C20" s="141"/>
      <c r="D20" s="12" t="s">
        <v>28</v>
      </c>
      <c r="E20" s="13" t="str">
        <f>IF('[1]Effects Matrix'!Y35="","",'[1]Effects Matrix'!Y35)&amp;IF('[1]Effects Matrix'!Y36="","",'[1]Effects Matrix'!Y36)&amp;IF('[1]Effects Matrix'!Y37="","",'[1]Effects Matrix'!Y37)&amp;IF('[1]Effects Matrix'!Y38="","",'[1]Effects Matrix'!Y38)</f>
        <v xml:space="preserve">H&amp;S concern  (9)
Non fitment with upper pipe (5)
</v>
      </c>
      <c r="F20" s="14">
        <f>IF(SUM('[1]Effects Matrix'!Z35:Z38)&gt;0,MAX('[1]Effects Matrix'!D35:X38)," ")</f>
        <v>9</v>
      </c>
      <c r="G20" s="1" t="e">
        <f>IF(ISNONTEXT(F20),IF(AND(F20&gt;SUM(VLOOKUP(CHAR(88),[1]Header!C25:P27,2,FALSE)-1),I20&gt;SUM(VLOOKUP(CHAR(88),[1]Header!$C$33:$P$35,4,FALSE)-1),L20&gt;SUM(VLOOKUP(CHAR(88),[1]Header!C25:P27,6,FALSE)-1)),VLOOKUP(CHAR(88),[1]Header!$C$33:$P$35,13,FALSE),IF(AND(F20&gt;SUM(VLOOKUP(CHAR(88),[1]Header!C25:P27,8,FALSE)-1),F20&lt;SUM(VLOOKUP(CHAR(88),[1]Header!C25:P27,9,FALSE)+1),I20&gt;SUM(VLOOKUP(CHAR(88),[1]Header!C25:P27,11,FALSE)-1),L20&gt;SUM(VLOOKUP(CHAR(88),[1]Header!C25:P27,12,FALSE)-1)),VLOOKUP(CHAR(88),[1]Header!C25:P27,14,FALSE),"OTH"))," ")</f>
        <v>#N/A</v>
      </c>
      <c r="H20" s="2" t="str">
        <f>IF(ISBLANK([1]FB5a1!C$5)," ",[1]FB5a1!C$5)</f>
        <v>Incorrect settings</v>
      </c>
      <c r="I20" s="4">
        <v>3</v>
      </c>
      <c r="J20" s="5" t="s">
        <v>15</v>
      </c>
      <c r="K20" s="10" t="s">
        <v>27</v>
      </c>
      <c r="L20" s="4">
        <v>3</v>
      </c>
      <c r="M20" s="6">
        <f>IF(ISTEXT(F$28)," ",F$28*I20*L20)</f>
        <v>72</v>
      </c>
    </row>
    <row r="21" spans="1:13" ht="90" x14ac:dyDescent="0.25">
      <c r="A21" s="141"/>
      <c r="B21" s="141"/>
      <c r="C21" s="141"/>
      <c r="D21" s="15" t="s">
        <v>29</v>
      </c>
      <c r="E21" s="16" t="str">
        <f>IF('[1]Effects Matrix'!Y39="","",'[1]Effects Matrix'!Y39)&amp;IF('[1]Effects Matrix'!Y40="","",'[1]Effects Matrix'!Y40)&amp;IF('[1]Effects Matrix'!Y41="","",'[1]Effects Matrix'!Y41)&amp;IF('[1]Effects Matrix'!Y42="","",'[1]Effects Matrix'!Y42)</f>
        <v xml:space="preserve">Non-fitment with upper pipe (5)
</v>
      </c>
      <c r="F21" s="17">
        <f>IF(SUM('[1]Effects Matrix'!Z39:Z42)&gt;0,MAX('[1]Effects Matrix'!D39:X42)," ")</f>
        <v>5</v>
      </c>
      <c r="G21" s="1" t="e">
        <f>IF(ISNONTEXT(F21),IF(AND(F21&gt;SUM(VLOOKUP(CHAR(88),[1]Header!C25:P27,2,FALSE)-1),I21&gt;SUM(VLOOKUP(CHAR(88),[1]Header!$C$33:$P$35,4,FALSE)-1),L21&gt;SUM(VLOOKUP(CHAR(88),[1]Header!C25:P27,6,FALSE)-1)),VLOOKUP(CHAR(88),[1]Header!$C$33:$P$35,13,FALSE),IF(AND(F21&gt;SUM(VLOOKUP(CHAR(88),[1]Header!C25:P27,8,FALSE)-1),F21&lt;SUM(VLOOKUP(CHAR(88),[1]Header!C25:P27,9,FALSE)+1),I21&gt;SUM(VLOOKUP(CHAR(88),[1]Header!C25:P27,11,FALSE)-1),L21&gt;SUM(VLOOKUP(CHAR(88),[1]Header!C25:P27,12,FALSE)-1)),VLOOKUP(CHAR(88),[1]Header!C25:P27,14,FALSE),"OTH"))," ")</f>
        <v>#N/A</v>
      </c>
      <c r="H21" s="2" t="str">
        <f>IF(ISBLANK([1]FB5a2!C$5)," ",[1]FB5a2!C$5)</f>
        <v>Incorrect setting</v>
      </c>
      <c r="I21" s="4">
        <v>3</v>
      </c>
      <c r="J21" s="5" t="s">
        <v>15</v>
      </c>
      <c r="K21" s="10" t="s">
        <v>30</v>
      </c>
      <c r="L21" s="4">
        <v>4</v>
      </c>
      <c r="M21" s="6">
        <f>IF(ISTEXT(F$29)," ",F$29*I21*L21)</f>
        <v>108</v>
      </c>
    </row>
    <row r="22" spans="1:13" ht="90" x14ac:dyDescent="0.25">
      <c r="A22" s="141">
        <f>'[1]Process Flow'!D10</f>
        <v>0</v>
      </c>
      <c r="B22" s="142" t="str">
        <f>IF(ISBLANK('[1]Process Flow'!$F10)," ",'[1]Process Flow'!$F10)</f>
        <v xml:space="preserve"> </v>
      </c>
      <c r="C22" s="141">
        <f>A22</f>
        <v>0</v>
      </c>
      <c r="D22" s="3" t="s">
        <v>31</v>
      </c>
      <c r="E22" s="2" t="str">
        <f>IF('[1]Effects Matrix'!Y43="","",'[1]Effects Matrix'!Y43)&amp;IF('[1]Effects Matrix'!Y44="","",'[1]Effects Matrix'!Y44)&amp;IF('[1]Effects Matrix'!Y45="","",'[1]Effects Matrix'!Y45)&amp;IF('[1]Effects Matrix'!Y46="","",'[1]Effects Matrix'!Y46)</f>
        <v xml:space="preserve">Non fitment with upper pipe (5)
</v>
      </c>
      <c r="F22" s="1">
        <f>IF(SUM('[1]Effects Matrix'!Z43:Z46)&gt;0,MAX('[1]Effects Matrix'!D43:X46)," ")</f>
        <v>5</v>
      </c>
      <c r="G22" s="1" t="e">
        <f>IF(ISNONTEXT(F22),IF(AND(F22&gt;SUM(VLOOKUP(CHAR(88),[1]Header!C25:P27,2,FALSE)-1),I22&gt;SUM(VLOOKUP(CHAR(88),[1]Header!$C$33:$P$35,4,FALSE)-1),L22&gt;SUM(VLOOKUP(CHAR(88),[1]Header!C25:P27,6,FALSE)-1)),VLOOKUP(CHAR(88),[1]Header!$C$33:$P$35,13,FALSE),IF(AND(F22&gt;SUM(VLOOKUP(CHAR(88),[1]Header!C25:P27,8,FALSE)-1),F22&lt;SUM(VLOOKUP(CHAR(88),[1]Header!C25:P27,9,FALSE)+1),I22&gt;SUM(VLOOKUP(CHAR(88),[1]Header!C25:P27,11,FALSE)-1),L22&gt;SUM(VLOOKUP(CHAR(88),[1]Header!C25:P27,12,FALSE)-1)),VLOOKUP(CHAR(88),[1]Header!C25:P27,14,FALSE),"OTH"))," ")</f>
        <v>#N/A</v>
      </c>
      <c r="H22" s="2" t="str">
        <f>IF(ISBLANK([1]FB6!C$5)," ",[1]FB6!C$5)</f>
        <v>Missed operation</v>
      </c>
      <c r="I22" s="4">
        <v>1</v>
      </c>
      <c r="J22" s="5" t="s">
        <v>15</v>
      </c>
      <c r="K22" s="10" t="s">
        <v>32</v>
      </c>
      <c r="L22" s="4">
        <v>1</v>
      </c>
      <c r="M22" s="6">
        <f>IF(ISTEXT(F$30)," ",F$30*I22*L22)</f>
        <v>0</v>
      </c>
    </row>
    <row r="23" spans="1:13" ht="51" x14ac:dyDescent="0.25">
      <c r="A23" s="141"/>
      <c r="B23" s="142"/>
      <c r="C23" s="141"/>
      <c r="D23" s="143" t="s">
        <v>28</v>
      </c>
      <c r="E23" s="144" t="str">
        <f>IF('[1]Effects Matrix'!Y47="","",'[1]Effects Matrix'!Y47)&amp;IF('[1]Effects Matrix'!Y48="","",'[1]Effects Matrix'!Y48)&amp;IF('[1]Effects Matrix'!Y49="","",'[1]Effects Matrix'!Y49)&amp;IF('[1]Effects Matrix'!Y50="","",'[1]Effects Matrix'!Y50)</f>
        <v xml:space="preserve">Loose fitment with upper pipe - Poor weld condition &amp; leak (8)
</v>
      </c>
      <c r="F23" s="145">
        <f>IF(SUM('[1]Effects Matrix'!Z47:Z50)&gt;0,MAX('[1]Effects Matrix'!D47:X50)," ")</f>
        <v>8</v>
      </c>
      <c r="G23" s="1" t="e">
        <f>IF(ISNONTEXT(F23),IF(AND(F23&gt;SUM(VLOOKUP(CHAR(88),[1]Header!C25:P27,2,FALSE)-1),I23&gt;SUM(VLOOKUP(CHAR(88),[1]Header!$C$33:$P$35,4,FALSE)-1),L23&gt;SUM(VLOOKUP(CHAR(88),[1]Header!C25:P27,6,FALSE)-1)),VLOOKUP(CHAR(88),[1]Header!$C$33:$P$35,13,FALSE),IF(AND(F23&gt;SUM(VLOOKUP(CHAR(88),[1]Header!C25:P27,8,FALSE)-1),F23&lt;SUM(VLOOKUP(CHAR(88),[1]Header!C25:P27,9,FALSE)+1),I23&gt;SUM(VLOOKUP(CHAR(88),[1]Header!C25:P27,11,FALSE)-1),L23&gt;SUM(VLOOKUP(CHAR(88),[1]Header!C25:P27,12,FALSE)-1)),VLOOKUP(CHAR(88),[1]Header!C25:P27,14,FALSE),"OTH"))," ")</f>
        <v>#N/A</v>
      </c>
      <c r="H23" s="2" t="str">
        <f>IF(ISBLANK([1]FB6a1!C$5)," ",[1]FB6a1!C$5)</f>
        <v>Incorrect settings</v>
      </c>
      <c r="I23" s="4">
        <v>3</v>
      </c>
      <c r="J23" s="5" t="s">
        <v>15</v>
      </c>
      <c r="K23" s="10" t="s">
        <v>32</v>
      </c>
      <c r="L23" s="4">
        <v>1</v>
      </c>
      <c r="M23" s="6">
        <f>IF(ISTEXT(F$31)," ",F$31*I23*L23)</f>
        <v>0</v>
      </c>
    </row>
    <row r="24" spans="1:13" ht="51" x14ac:dyDescent="0.25">
      <c r="A24" s="141"/>
      <c r="B24" s="142"/>
      <c r="C24" s="141"/>
      <c r="D24" s="144"/>
      <c r="E24" s="144"/>
      <c r="F24" s="145"/>
      <c r="G24" s="1" t="str">
        <f>IF(ISNONTEXT(F23),IF(AND(F23&gt;SUM(VLOOKUP(CHAR(88),[1]Header!$C$33:$P$35,2,FALSE)-1),I24&gt;SUM(VLOOKUP(CHAR(88),[1]Header!$C$33:$P$35,4,FALSE)-1),L24&gt;SUM(VLOOKUP(CHAR(88),[1]Header!$C$33:$P$35,6,FALSE)-1)),VLOOKUP(CHAR(88),[1]Header!$C$33:$P$35,13,FALSE),IF(AND(F23&gt;SUM(VLOOKUP(CHAR(88),[1]Header!$C$33:$P$35,8,FALSE)-1),F23&lt;SUM(VLOOKUP(CHAR(88),[1]Header!$C$33:$P$35,9,FALSE)+1),I24&gt;SUM(VLOOKUP(CHAR(88),[1]Header!$C$33:$P$35,11,FALSE)-1),L24&gt;SUM(VLOOKUP(CHAR(88),[1]Header!$C$33:$P$35,12,FALSE)-1)),VLOOKUP(CHAR(88),[1]Header!$C$33:$P$35,14,FALSE),"OTH"))," ")</f>
        <v>OTH</v>
      </c>
      <c r="H24" s="2" t="str">
        <f>[1]FB6a1!$L$5</f>
        <v>Worn / broken tooling</v>
      </c>
      <c r="I24" s="4">
        <v>3</v>
      </c>
      <c r="J24" s="5" t="s">
        <v>33</v>
      </c>
      <c r="K24" s="10" t="s">
        <v>32</v>
      </c>
      <c r="L24" s="4">
        <v>1</v>
      </c>
      <c r="M24" s="6">
        <f>IF(ISTEXT(F$31)," ",F$31*I24*L24)</f>
        <v>0</v>
      </c>
    </row>
    <row r="25" spans="1:13" ht="89.25" x14ac:dyDescent="0.25">
      <c r="A25" s="141"/>
      <c r="B25" s="142"/>
      <c r="C25" s="141"/>
      <c r="D25" s="146" t="s">
        <v>29</v>
      </c>
      <c r="E25" s="142" t="str">
        <f>IF('[1]Effects Matrix'!Y51="","",'[1]Effects Matrix'!Y51)&amp;IF('[1]Effects Matrix'!Y52="","",'[1]Effects Matrix'!Y52)&amp;IF('[1]Effects Matrix'!Y53="","",'[1]Effects Matrix'!Y53)&amp;IF('[1]Effects Matrix'!Y54="","",'[1]Effects Matrix'!Y54)</f>
        <v xml:space="preserve">Non fitment of anti-siphon valve (5)
</v>
      </c>
      <c r="F25" s="141">
        <f>IF(SUM('[1]Effects Matrix'!Z51:Z54)&gt;0,MAX('[1]Effects Matrix'!D51:X54)," ")</f>
        <v>5</v>
      </c>
      <c r="G25" s="1" t="e">
        <f>IF(ISNONTEXT(F25),IF(AND(F25&gt;SUM(VLOOKUP(CHAR(88),[1]Header!C25:P27,2,FALSE)-1),I25&gt;SUM(VLOOKUP(CHAR(88),[1]Header!$C$33:$P$35,4,FALSE)-1),L25&gt;SUM(VLOOKUP(CHAR(88),[1]Header!C25:P27,6,FALSE)-1)),VLOOKUP(CHAR(88),[1]Header!$C$33:$P$35,13,FALSE),IF(AND(F25&gt;SUM(VLOOKUP(CHAR(88),[1]Header!C25:P27,8,FALSE)-1),F25&lt;SUM(VLOOKUP(CHAR(88),[1]Header!C25:P27,9,FALSE)+1),I25&gt;SUM(VLOOKUP(CHAR(88),[1]Header!C25:P27,11,FALSE)-1),L25&gt;SUM(VLOOKUP(CHAR(88),[1]Header!C25:P27,12,FALSE)-1)),VLOOKUP(CHAR(88),[1]Header!C25:P27,14,FALSE),"OTH"))," ")</f>
        <v>#N/A</v>
      </c>
      <c r="H25" s="2" t="str">
        <f>IF(ISBLANK([1]FB6a2!C$5)," ",[1]FB6a2!C$5)</f>
        <v>Incorrect setting</v>
      </c>
      <c r="I25" s="4">
        <v>3</v>
      </c>
      <c r="J25" s="5" t="s">
        <v>15</v>
      </c>
      <c r="K25" s="10" t="s">
        <v>34</v>
      </c>
      <c r="L25" s="4">
        <v>5</v>
      </c>
      <c r="M25" s="6">
        <f>IF(ISTEXT(F$33)," ",F$33*I25*L25)</f>
        <v>0</v>
      </c>
    </row>
    <row r="26" spans="1:13" ht="89.25" x14ac:dyDescent="0.25">
      <c r="A26" s="141"/>
      <c r="B26" s="142"/>
      <c r="C26" s="141"/>
      <c r="D26" s="142"/>
      <c r="E26" s="142"/>
      <c r="F26" s="141"/>
      <c r="G26" s="1" t="str">
        <f>IF(ISNONTEXT(F25),IF(AND(F25&gt;SUM(VLOOKUP(CHAR(88),[1]Header!$C$33:$P$35,2,FALSE)-1),I26&gt;SUM(VLOOKUP(CHAR(88),[1]Header!$C$33:$P$35,4,FALSE)-1),L26&gt;SUM(VLOOKUP(CHAR(88),[1]Header!$C$33:$P$35,6,FALSE)-1)),VLOOKUP(CHAR(88),[1]Header!$C$33:$P$35,13,FALSE),IF(AND(F25&gt;SUM(VLOOKUP(CHAR(88),[1]Header!$C$33:$P$35,8,FALSE)-1),F25&lt;SUM(VLOOKUP(CHAR(88),[1]Header!$C$33:$P$35,9,FALSE)+1),I26&gt;SUM(VLOOKUP(CHAR(88),[1]Header!$C$33:$P$35,11,FALSE)-1),L26&gt;SUM(VLOOKUP(CHAR(88),[1]Header!$C$33:$P$35,12,FALSE)-1)),VLOOKUP(CHAR(88),[1]Header!$C$33:$P$35,14,FALSE),"OTH"))," ")</f>
        <v>OTH</v>
      </c>
      <c r="H26" s="2" t="str">
        <f>[1]FB6a2!$L$5</f>
        <v>Worn / broken tooling</v>
      </c>
      <c r="I26" s="4">
        <v>2</v>
      </c>
      <c r="J26" s="5" t="s">
        <v>15</v>
      </c>
      <c r="K26" s="10" t="s">
        <v>34</v>
      </c>
      <c r="L26" s="4">
        <v>5</v>
      </c>
      <c r="M26" s="6">
        <f>IF(ISTEXT(F$33)," ",F$33*I26*L26)</f>
        <v>0</v>
      </c>
    </row>
    <row r="27" spans="1:13" ht="195" x14ac:dyDescent="0.25">
      <c r="A27" s="141"/>
      <c r="B27" s="142"/>
      <c r="C27" s="141"/>
      <c r="D27" s="3" t="s">
        <v>35</v>
      </c>
      <c r="E27" s="2" t="str">
        <f>IF('[1]Effects Matrix'!Y55="","",'[1]Effects Matrix'!Y55)&amp;IF('[1]Effects Matrix'!Y56="","",'[1]Effects Matrix'!Y56)&amp;IF('[1]Effects Matrix'!Y57="","",'[1]Effects Matrix'!Y57)&amp;IF('[1]Effects Matrix'!Y58="","",'[1]Effects Matrix'!Y58)</f>
        <v xml:space="preserve">Non fitment of anti-siphon valve (5)
Possible leak - poor seal on fitment of hose (9)
</v>
      </c>
      <c r="F27" s="1">
        <f>IF(SUM('[1]Effects Matrix'!Z55:Z58)&gt;0,MAX('[1]Effects Matrix'!D55:X58)," ")</f>
        <v>9</v>
      </c>
      <c r="G27" s="1" t="e">
        <f>IF(ISNONTEXT(F27),IF(AND(F27&gt;SUM(VLOOKUP(CHAR(88),[1]Header!C25:P27,2,FALSE)-1),I27&gt;SUM(VLOOKUP(CHAR(88),[1]Header!$C$33:$P$35,4,FALSE)-1),L27&gt;SUM(VLOOKUP(CHAR(88),[1]Header!C25:P27,6,FALSE)-1)),VLOOKUP(CHAR(88),[1]Header!$C$33:$P$35,13,FALSE),IF(AND(F27&gt;SUM(VLOOKUP(CHAR(88),[1]Header!C25:P27,8,FALSE)-1),F27&lt;SUM(VLOOKUP(CHAR(88),[1]Header!C25:P27,9,FALSE)+1),I27&gt;SUM(VLOOKUP(CHAR(88),[1]Header!C25:P27,11,FALSE)-1),L27&gt;SUM(VLOOKUP(CHAR(88),[1]Header!C25:P27,12,FALSE)-1)),VLOOKUP(CHAR(88),[1]Header!C25:P27,14,FALSE),"OTH"))," ")</f>
        <v>#N/A</v>
      </c>
      <c r="H27" s="2" t="str">
        <f>IF(ISBLANK([1]FB6a3!C$5)," ",[1]FB6a3!C$5)</f>
        <v>Worn / broken tooling</v>
      </c>
      <c r="I27" s="4">
        <v>3</v>
      </c>
      <c r="J27" s="5" t="s">
        <v>15</v>
      </c>
      <c r="K27" s="5" t="s">
        <v>24</v>
      </c>
      <c r="L27" s="4">
        <v>7</v>
      </c>
      <c r="M27" s="6">
        <f>IF(ISTEXT(F$35)," ",F$35*I27*L27)</f>
        <v>0</v>
      </c>
    </row>
    <row r="28" spans="1:13" ht="150" x14ac:dyDescent="0.25">
      <c r="A28" s="138">
        <f>'[1]Process Flow'!D11</f>
        <v>0</v>
      </c>
      <c r="B28" s="139" t="str">
        <f>IF(ISBLANK('[1]Process Flow'!$F11)," ",'[1]Process Flow'!$F11)</f>
        <v xml:space="preserve"> </v>
      </c>
      <c r="C28" s="138">
        <f>A28</f>
        <v>0</v>
      </c>
      <c r="D28" s="3" t="s">
        <v>36</v>
      </c>
      <c r="E28" s="2" t="str">
        <f>IF('[1]Effects Matrix'!Y59="","",'[1]Effects Matrix'!Y59)&amp;IF('[1]Effects Matrix'!Y60="","",'[1]Effects Matrix'!Y60)&amp;IF('[1]Effects Matrix'!Y61="","",'[1]Effects Matrix'!Y61)&amp;IF('[1]Effects Matrix'!Y62="","",'[1]Effects Matrix'!Y62)</f>
        <v xml:space="preserve">Non fitment of anti-siphon valve (8)
Non fitment of hose (8)
</v>
      </c>
      <c r="F28" s="1">
        <f>IF(SUM('[1]Effects Matrix'!Z59:Z62)&gt;0,MAX('[1]Effects Matrix'!D59:X62)," ")</f>
        <v>8</v>
      </c>
      <c r="G28" s="1" t="e">
        <f>IF(ISNONTEXT(F28),IF(AND(F28&gt;SUM(VLOOKUP(CHAR(88),[1]Header!C25:P27,2,FALSE)-1),I28&gt;SUM(VLOOKUP(CHAR(88),[1]Header!$C$33:$P$35,4,FALSE)-1),L28&gt;SUM(VLOOKUP(CHAR(88),[1]Header!C25:P27,6,FALSE)-1)),VLOOKUP(CHAR(88),[1]Header!$C$33:$P$35,13,FALSE),IF(AND(F28&gt;SUM(VLOOKUP(CHAR(88),[1]Header!C25:P27,8,FALSE)-1),F28&lt;SUM(VLOOKUP(CHAR(88),[1]Header!C25:P27,9,FALSE)+1),I28&gt;SUM(VLOOKUP(CHAR(88),[1]Header!C25:P27,11,FALSE)-1),L28&gt;SUM(VLOOKUP(CHAR(88),[1]Header!C25:P27,12,FALSE)-1)),VLOOKUP(CHAR(88),[1]Header!C25:P27,14,FALSE),"OTH"))," ")</f>
        <v>#N/A</v>
      </c>
      <c r="H28" s="2" t="str">
        <f>IF(ISBLANK([1]FB7!C$5)," ",[1]FB7!C$5)</f>
        <v>Missed operation</v>
      </c>
      <c r="I28" s="4">
        <v>4</v>
      </c>
      <c r="J28" s="5" t="s">
        <v>15</v>
      </c>
      <c r="K28" s="5" t="s">
        <v>24</v>
      </c>
      <c r="L28" s="4">
        <v>7</v>
      </c>
      <c r="M28" s="6">
        <f>IF(ISTEXT(F$36)," ",F$36*I28*L28)</f>
        <v>0</v>
      </c>
    </row>
    <row r="29" spans="1:13" ht="60" x14ac:dyDescent="0.25">
      <c r="A29" s="138"/>
      <c r="B29" s="139"/>
      <c r="C29" s="138"/>
      <c r="D29" s="140" t="s">
        <v>37</v>
      </c>
      <c r="E29" s="139" t="str">
        <f>IF('[1]Effects Matrix'!Y63="","",'[1]Effects Matrix'!Y63)&amp;IF('[1]Effects Matrix'!Y64="","",'[1]Effects Matrix'!Y64)&amp;IF('[1]Effects Matrix'!Y65="","",'[1]Effects Matrix'!Y65)&amp;IF('[1]Effects Matrix'!Y66="","",'[1]Effects Matrix'!Y66)</f>
        <v xml:space="preserve">Possible leak - poor seal on fitment of hose (9)
</v>
      </c>
      <c r="F29" s="138">
        <f>IF(SUM('[1]Effects Matrix'!Z63:Z66)&gt;0,MAX('[1]Effects Matrix'!D63:X66)," ")</f>
        <v>9</v>
      </c>
      <c r="G29" s="1" t="e">
        <f>IF(ISNONTEXT(F29),IF(AND(F29&gt;SUM(VLOOKUP(CHAR(88),[1]Header!C25:P27,2,FALSE)-1),I29&gt;SUM(VLOOKUP(CHAR(88),[1]Header!$C$33:$P$35,4,FALSE)-1),L29&gt;SUM(VLOOKUP(CHAR(88),[1]Header!C25:P27,6,FALSE)-1)),VLOOKUP(CHAR(88),[1]Header!$C$33:$P$35,13,FALSE),IF(AND(F29&gt;SUM(VLOOKUP(CHAR(88),[1]Header!C25:P27,8,FALSE)-1),F29&lt;SUM(VLOOKUP(CHAR(88),[1]Header!C25:P27,9,FALSE)+1),I29&gt;SUM(VLOOKUP(CHAR(88),[1]Header!C25:P27,11,FALSE)-1),L29&gt;SUM(VLOOKUP(CHAR(88),[1]Header!C25:P27,12,FALSE)-1)),VLOOKUP(CHAR(88),[1]Header!C25:P27,14,FALSE),"OTH"))," ")</f>
        <v>#N/A</v>
      </c>
      <c r="H29" s="2" t="str">
        <f>IF(ISBLANK([1]FB7a1!C$5)," ",[1]FB7a1!C$5)</f>
        <v>Contaminated water</v>
      </c>
      <c r="I29" s="4">
        <v>3</v>
      </c>
      <c r="J29" s="5" t="s">
        <v>33</v>
      </c>
      <c r="K29" s="5" t="s">
        <v>24</v>
      </c>
      <c r="L29" s="4">
        <v>7</v>
      </c>
      <c r="M29" s="6">
        <f>IF(ISTEXT(F$37)," ",F$37*I29*L29)</f>
        <v>0</v>
      </c>
    </row>
    <row r="30" spans="1:13" ht="60" x14ac:dyDescent="0.25">
      <c r="A30" s="138"/>
      <c r="B30" s="139"/>
      <c r="C30" s="138"/>
      <c r="D30" s="139"/>
      <c r="E30" s="139"/>
      <c r="F30" s="138"/>
      <c r="G30" s="1" t="str">
        <f>IF(ISNONTEXT(F29),IF(AND(F29&gt;SUM(VLOOKUP(CHAR(88),[1]Header!$C$33:$P$35,2,FALSE)-1),I30&gt;SUM(VLOOKUP(CHAR(88),[1]Header!$C$33:$P$35,4,FALSE)-1),L30&gt;SUM(VLOOKUP(CHAR(88),[1]Header!$C$33:$P$35,6,FALSE)-1)),VLOOKUP(CHAR(88),[1]Header!$C$33:$P$35,13,FALSE),IF(AND(F29&gt;SUM(VLOOKUP(CHAR(88),[1]Header!$C$33:$P$35,8,FALSE)-1),F29&lt;SUM(VLOOKUP(CHAR(88),[1]Header!$C$33:$P$35,9,FALSE)+1),I30&gt;SUM(VLOOKUP(CHAR(88),[1]Header!$C$33:$P$35,11,FALSE)-1),L30&gt;SUM(VLOOKUP(CHAR(88),[1]Header!$C$33:$P$35,12,FALSE)-1)),VLOOKUP(CHAR(88),[1]Header!$C$33:$P$35,14,FALSE),"OTH"))," ")</f>
        <v>CC</v>
      </c>
      <c r="H30" s="2" t="str">
        <f>[1]FB7a1!$L$5</f>
        <v>Check detergent mixture</v>
      </c>
      <c r="I30" s="4">
        <v>3</v>
      </c>
      <c r="J30" s="5" t="s">
        <v>15</v>
      </c>
      <c r="K30" s="5" t="s">
        <v>24</v>
      </c>
      <c r="L30" s="4">
        <v>7</v>
      </c>
      <c r="M30" s="6">
        <f>IF(ISTEXT(F$37)," ",F$37*I30*L30)</f>
        <v>0</v>
      </c>
    </row>
  </sheetData>
  <mergeCells count="56">
    <mergeCell ref="A1:A4"/>
    <mergeCell ref="B1:B4"/>
    <mergeCell ref="C1:C4"/>
    <mergeCell ref="D1:D4"/>
    <mergeCell ref="E1:E4"/>
    <mergeCell ref="H1:H4"/>
    <mergeCell ref="I1:I4"/>
    <mergeCell ref="J1:K2"/>
    <mergeCell ref="L1:L4"/>
    <mergeCell ref="M1:M4"/>
    <mergeCell ref="J3:J4"/>
    <mergeCell ref="K3:K4"/>
    <mergeCell ref="D9:D10"/>
    <mergeCell ref="E9:E10"/>
    <mergeCell ref="F9:F10"/>
    <mergeCell ref="D11:D12"/>
    <mergeCell ref="G1:G4"/>
    <mergeCell ref="F1:F4"/>
    <mergeCell ref="E11:E12"/>
    <mergeCell ref="F11:F12"/>
    <mergeCell ref="A13:A16"/>
    <mergeCell ref="B13:B16"/>
    <mergeCell ref="C13:C16"/>
    <mergeCell ref="D13:D14"/>
    <mergeCell ref="E13:E14"/>
    <mergeCell ref="F13:F14"/>
    <mergeCell ref="D15:D16"/>
    <mergeCell ref="E15:E16"/>
    <mergeCell ref="A7:A12"/>
    <mergeCell ref="B7:B12"/>
    <mergeCell ref="C7:C12"/>
    <mergeCell ref="D7:D8"/>
    <mergeCell ref="E7:E8"/>
    <mergeCell ref="F7:F8"/>
    <mergeCell ref="F15:F16"/>
    <mergeCell ref="A17:A18"/>
    <mergeCell ref="B17:B18"/>
    <mergeCell ref="C17:C18"/>
    <mergeCell ref="A19:A21"/>
    <mergeCell ref="B19:B21"/>
    <mergeCell ref="C19:C21"/>
    <mergeCell ref="F29:F30"/>
    <mergeCell ref="A22:A27"/>
    <mergeCell ref="B22:B27"/>
    <mergeCell ref="C22:C27"/>
    <mergeCell ref="D23:D24"/>
    <mergeCell ref="E23:E24"/>
    <mergeCell ref="F23:F24"/>
    <mergeCell ref="D25:D26"/>
    <mergeCell ref="E25:E26"/>
    <mergeCell ref="F25:F26"/>
    <mergeCell ref="A28:A30"/>
    <mergeCell ref="B28:B30"/>
    <mergeCell ref="C28:C30"/>
    <mergeCell ref="D29:D30"/>
    <mergeCell ref="E29:E3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R36"/>
  <sheetViews>
    <sheetView workbookViewId="0">
      <selection activeCell="F19" sqref="F19:F22"/>
    </sheetView>
  </sheetViews>
  <sheetFormatPr defaultRowHeight="12.75" x14ac:dyDescent="0.2"/>
  <cols>
    <col min="1" max="1" width="7.28515625" style="23" customWidth="1"/>
    <col min="2" max="2" width="10.42578125" style="23" customWidth="1"/>
    <col min="3" max="3" width="12.5703125" style="23" customWidth="1"/>
    <col min="4" max="4" width="4.5703125" style="23" customWidth="1"/>
    <col min="5" max="5" width="13.7109375" style="23" customWidth="1"/>
    <col min="6" max="6" width="14.42578125" style="23" customWidth="1"/>
    <col min="7" max="7" width="6.42578125" style="23" customWidth="1"/>
    <col min="8" max="8" width="13.85546875" style="23" customWidth="1"/>
    <col min="9" max="9" width="11.5703125" style="23" customWidth="1"/>
    <col min="10" max="10" width="6" style="23" customWidth="1"/>
    <col min="11" max="11" width="5" style="23" customWidth="1"/>
    <col min="12" max="12" width="8.5703125" style="23" customWidth="1"/>
    <col min="13" max="14" width="14" style="23" customWidth="1"/>
    <col min="15" max="16" width="25.7109375" style="23" customWidth="1"/>
    <col min="17" max="256" width="9.140625" style="23"/>
    <col min="257" max="257" width="7.28515625" style="23" customWidth="1"/>
    <col min="258" max="258" width="10.42578125" style="23" customWidth="1"/>
    <col min="259" max="259" width="12.5703125" style="23" customWidth="1"/>
    <col min="260" max="260" width="4.5703125" style="23" customWidth="1"/>
    <col min="261" max="261" width="13.7109375" style="23" customWidth="1"/>
    <col min="262" max="262" width="14.42578125" style="23" customWidth="1"/>
    <col min="263" max="263" width="6.42578125" style="23" customWidth="1"/>
    <col min="264" max="264" width="13.85546875" style="23" customWidth="1"/>
    <col min="265" max="265" width="11.5703125" style="23" customWidth="1"/>
    <col min="266" max="266" width="6" style="23" customWidth="1"/>
    <col min="267" max="267" width="5" style="23" customWidth="1"/>
    <col min="268" max="268" width="8.5703125" style="23" customWidth="1"/>
    <col min="269" max="270" width="14" style="23" customWidth="1"/>
    <col min="271" max="272" width="25.7109375" style="23" customWidth="1"/>
    <col min="273" max="512" width="9.140625" style="23"/>
    <col min="513" max="513" width="7.28515625" style="23" customWidth="1"/>
    <col min="514" max="514" width="10.42578125" style="23" customWidth="1"/>
    <col min="515" max="515" width="12.5703125" style="23" customWidth="1"/>
    <col min="516" max="516" width="4.5703125" style="23" customWidth="1"/>
    <col min="517" max="517" width="13.7109375" style="23" customWidth="1"/>
    <col min="518" max="518" width="14.42578125" style="23" customWidth="1"/>
    <col min="519" max="519" width="6.42578125" style="23" customWidth="1"/>
    <col min="520" max="520" width="13.85546875" style="23" customWidth="1"/>
    <col min="521" max="521" width="11.5703125" style="23" customWidth="1"/>
    <col min="522" max="522" width="6" style="23" customWidth="1"/>
    <col min="523" max="523" width="5" style="23" customWidth="1"/>
    <col min="524" max="524" width="8.5703125" style="23" customWidth="1"/>
    <col min="525" max="526" width="14" style="23" customWidth="1"/>
    <col min="527" max="528" width="25.7109375" style="23" customWidth="1"/>
    <col min="529" max="768" width="9.140625" style="23"/>
    <col min="769" max="769" width="7.28515625" style="23" customWidth="1"/>
    <col min="770" max="770" width="10.42578125" style="23" customWidth="1"/>
    <col min="771" max="771" width="12.5703125" style="23" customWidth="1"/>
    <col min="772" max="772" width="4.5703125" style="23" customWidth="1"/>
    <col min="773" max="773" width="13.7109375" style="23" customWidth="1"/>
    <col min="774" max="774" width="14.42578125" style="23" customWidth="1"/>
    <col min="775" max="775" width="6.42578125" style="23" customWidth="1"/>
    <col min="776" max="776" width="13.85546875" style="23" customWidth="1"/>
    <col min="777" max="777" width="11.5703125" style="23" customWidth="1"/>
    <col min="778" max="778" width="6" style="23" customWidth="1"/>
    <col min="779" max="779" width="5" style="23" customWidth="1"/>
    <col min="780" max="780" width="8.5703125" style="23" customWidth="1"/>
    <col min="781" max="782" width="14" style="23" customWidth="1"/>
    <col min="783" max="784" width="25.7109375" style="23" customWidth="1"/>
    <col min="785" max="1024" width="9.140625" style="23"/>
    <col min="1025" max="1025" width="7.28515625" style="23" customWidth="1"/>
    <col min="1026" max="1026" width="10.42578125" style="23" customWidth="1"/>
    <col min="1027" max="1027" width="12.5703125" style="23" customWidth="1"/>
    <col min="1028" max="1028" width="4.5703125" style="23" customWidth="1"/>
    <col min="1029" max="1029" width="13.7109375" style="23" customWidth="1"/>
    <col min="1030" max="1030" width="14.42578125" style="23" customWidth="1"/>
    <col min="1031" max="1031" width="6.42578125" style="23" customWidth="1"/>
    <col min="1032" max="1032" width="13.85546875" style="23" customWidth="1"/>
    <col min="1033" max="1033" width="11.5703125" style="23" customWidth="1"/>
    <col min="1034" max="1034" width="6" style="23" customWidth="1"/>
    <col min="1035" max="1035" width="5" style="23" customWidth="1"/>
    <col min="1036" max="1036" width="8.5703125" style="23" customWidth="1"/>
    <col min="1037" max="1038" width="14" style="23" customWidth="1"/>
    <col min="1039" max="1040" width="25.7109375" style="23" customWidth="1"/>
    <col min="1041" max="1280" width="9.140625" style="23"/>
    <col min="1281" max="1281" width="7.28515625" style="23" customWidth="1"/>
    <col min="1282" max="1282" width="10.42578125" style="23" customWidth="1"/>
    <col min="1283" max="1283" width="12.5703125" style="23" customWidth="1"/>
    <col min="1284" max="1284" width="4.5703125" style="23" customWidth="1"/>
    <col min="1285" max="1285" width="13.7109375" style="23" customWidth="1"/>
    <col min="1286" max="1286" width="14.42578125" style="23" customWidth="1"/>
    <col min="1287" max="1287" width="6.42578125" style="23" customWidth="1"/>
    <col min="1288" max="1288" width="13.85546875" style="23" customWidth="1"/>
    <col min="1289" max="1289" width="11.5703125" style="23" customWidth="1"/>
    <col min="1290" max="1290" width="6" style="23" customWidth="1"/>
    <col min="1291" max="1291" width="5" style="23" customWidth="1"/>
    <col min="1292" max="1292" width="8.5703125" style="23" customWidth="1"/>
    <col min="1293" max="1294" width="14" style="23" customWidth="1"/>
    <col min="1295" max="1296" width="25.7109375" style="23" customWidth="1"/>
    <col min="1297" max="1536" width="9.140625" style="23"/>
    <col min="1537" max="1537" width="7.28515625" style="23" customWidth="1"/>
    <col min="1538" max="1538" width="10.42578125" style="23" customWidth="1"/>
    <col min="1539" max="1539" width="12.5703125" style="23" customWidth="1"/>
    <col min="1540" max="1540" width="4.5703125" style="23" customWidth="1"/>
    <col min="1541" max="1541" width="13.7109375" style="23" customWidth="1"/>
    <col min="1542" max="1542" width="14.42578125" style="23" customWidth="1"/>
    <col min="1543" max="1543" width="6.42578125" style="23" customWidth="1"/>
    <col min="1544" max="1544" width="13.85546875" style="23" customWidth="1"/>
    <col min="1545" max="1545" width="11.5703125" style="23" customWidth="1"/>
    <col min="1546" max="1546" width="6" style="23" customWidth="1"/>
    <col min="1547" max="1547" width="5" style="23" customWidth="1"/>
    <col min="1548" max="1548" width="8.5703125" style="23" customWidth="1"/>
    <col min="1549" max="1550" width="14" style="23" customWidth="1"/>
    <col min="1551" max="1552" width="25.7109375" style="23" customWidth="1"/>
    <col min="1553" max="1792" width="9.140625" style="23"/>
    <col min="1793" max="1793" width="7.28515625" style="23" customWidth="1"/>
    <col min="1794" max="1794" width="10.42578125" style="23" customWidth="1"/>
    <col min="1795" max="1795" width="12.5703125" style="23" customWidth="1"/>
    <col min="1796" max="1796" width="4.5703125" style="23" customWidth="1"/>
    <col min="1797" max="1797" width="13.7109375" style="23" customWidth="1"/>
    <col min="1798" max="1798" width="14.42578125" style="23" customWidth="1"/>
    <col min="1799" max="1799" width="6.42578125" style="23" customWidth="1"/>
    <col min="1800" max="1800" width="13.85546875" style="23" customWidth="1"/>
    <col min="1801" max="1801" width="11.5703125" style="23" customWidth="1"/>
    <col min="1802" max="1802" width="6" style="23" customWidth="1"/>
    <col min="1803" max="1803" width="5" style="23" customWidth="1"/>
    <col min="1804" max="1804" width="8.5703125" style="23" customWidth="1"/>
    <col min="1805" max="1806" width="14" style="23" customWidth="1"/>
    <col min="1807" max="1808" width="25.7109375" style="23" customWidth="1"/>
    <col min="1809" max="2048" width="9.140625" style="23"/>
    <col min="2049" max="2049" width="7.28515625" style="23" customWidth="1"/>
    <col min="2050" max="2050" width="10.42578125" style="23" customWidth="1"/>
    <col min="2051" max="2051" width="12.5703125" style="23" customWidth="1"/>
    <col min="2052" max="2052" width="4.5703125" style="23" customWidth="1"/>
    <col min="2053" max="2053" width="13.7109375" style="23" customWidth="1"/>
    <col min="2054" max="2054" width="14.42578125" style="23" customWidth="1"/>
    <col min="2055" max="2055" width="6.42578125" style="23" customWidth="1"/>
    <col min="2056" max="2056" width="13.85546875" style="23" customWidth="1"/>
    <col min="2057" max="2057" width="11.5703125" style="23" customWidth="1"/>
    <col min="2058" max="2058" width="6" style="23" customWidth="1"/>
    <col min="2059" max="2059" width="5" style="23" customWidth="1"/>
    <col min="2060" max="2060" width="8.5703125" style="23" customWidth="1"/>
    <col min="2061" max="2062" width="14" style="23" customWidth="1"/>
    <col min="2063" max="2064" width="25.7109375" style="23" customWidth="1"/>
    <col min="2065" max="2304" width="9.140625" style="23"/>
    <col min="2305" max="2305" width="7.28515625" style="23" customWidth="1"/>
    <col min="2306" max="2306" width="10.42578125" style="23" customWidth="1"/>
    <col min="2307" max="2307" width="12.5703125" style="23" customWidth="1"/>
    <col min="2308" max="2308" width="4.5703125" style="23" customWidth="1"/>
    <col min="2309" max="2309" width="13.7109375" style="23" customWidth="1"/>
    <col min="2310" max="2310" width="14.42578125" style="23" customWidth="1"/>
    <col min="2311" max="2311" width="6.42578125" style="23" customWidth="1"/>
    <col min="2312" max="2312" width="13.85546875" style="23" customWidth="1"/>
    <col min="2313" max="2313" width="11.5703125" style="23" customWidth="1"/>
    <col min="2314" max="2314" width="6" style="23" customWidth="1"/>
    <col min="2315" max="2315" width="5" style="23" customWidth="1"/>
    <col min="2316" max="2316" width="8.5703125" style="23" customWidth="1"/>
    <col min="2317" max="2318" width="14" style="23" customWidth="1"/>
    <col min="2319" max="2320" width="25.7109375" style="23" customWidth="1"/>
    <col min="2321" max="2560" width="9.140625" style="23"/>
    <col min="2561" max="2561" width="7.28515625" style="23" customWidth="1"/>
    <col min="2562" max="2562" width="10.42578125" style="23" customWidth="1"/>
    <col min="2563" max="2563" width="12.5703125" style="23" customWidth="1"/>
    <col min="2564" max="2564" width="4.5703125" style="23" customWidth="1"/>
    <col min="2565" max="2565" width="13.7109375" style="23" customWidth="1"/>
    <col min="2566" max="2566" width="14.42578125" style="23" customWidth="1"/>
    <col min="2567" max="2567" width="6.42578125" style="23" customWidth="1"/>
    <col min="2568" max="2568" width="13.85546875" style="23" customWidth="1"/>
    <col min="2569" max="2569" width="11.5703125" style="23" customWidth="1"/>
    <col min="2570" max="2570" width="6" style="23" customWidth="1"/>
    <col min="2571" max="2571" width="5" style="23" customWidth="1"/>
    <col min="2572" max="2572" width="8.5703125" style="23" customWidth="1"/>
    <col min="2573" max="2574" width="14" style="23" customWidth="1"/>
    <col min="2575" max="2576" width="25.7109375" style="23" customWidth="1"/>
    <col min="2577" max="2816" width="9.140625" style="23"/>
    <col min="2817" max="2817" width="7.28515625" style="23" customWidth="1"/>
    <col min="2818" max="2818" width="10.42578125" style="23" customWidth="1"/>
    <col min="2819" max="2819" width="12.5703125" style="23" customWidth="1"/>
    <col min="2820" max="2820" width="4.5703125" style="23" customWidth="1"/>
    <col min="2821" max="2821" width="13.7109375" style="23" customWidth="1"/>
    <col min="2822" max="2822" width="14.42578125" style="23" customWidth="1"/>
    <col min="2823" max="2823" width="6.42578125" style="23" customWidth="1"/>
    <col min="2824" max="2824" width="13.85546875" style="23" customWidth="1"/>
    <col min="2825" max="2825" width="11.5703125" style="23" customWidth="1"/>
    <col min="2826" max="2826" width="6" style="23" customWidth="1"/>
    <col min="2827" max="2827" width="5" style="23" customWidth="1"/>
    <col min="2828" max="2828" width="8.5703125" style="23" customWidth="1"/>
    <col min="2829" max="2830" width="14" style="23" customWidth="1"/>
    <col min="2831" max="2832" width="25.7109375" style="23" customWidth="1"/>
    <col min="2833" max="3072" width="9.140625" style="23"/>
    <col min="3073" max="3073" width="7.28515625" style="23" customWidth="1"/>
    <col min="3074" max="3074" width="10.42578125" style="23" customWidth="1"/>
    <col min="3075" max="3075" width="12.5703125" style="23" customWidth="1"/>
    <col min="3076" max="3076" width="4.5703125" style="23" customWidth="1"/>
    <col min="3077" max="3077" width="13.7109375" style="23" customWidth="1"/>
    <col min="3078" max="3078" width="14.42578125" style="23" customWidth="1"/>
    <col min="3079" max="3079" width="6.42578125" style="23" customWidth="1"/>
    <col min="3080" max="3080" width="13.85546875" style="23" customWidth="1"/>
    <col min="3081" max="3081" width="11.5703125" style="23" customWidth="1"/>
    <col min="3082" max="3082" width="6" style="23" customWidth="1"/>
    <col min="3083" max="3083" width="5" style="23" customWidth="1"/>
    <col min="3084" max="3084" width="8.5703125" style="23" customWidth="1"/>
    <col min="3085" max="3086" width="14" style="23" customWidth="1"/>
    <col min="3087" max="3088" width="25.7109375" style="23" customWidth="1"/>
    <col min="3089" max="3328" width="9.140625" style="23"/>
    <col min="3329" max="3329" width="7.28515625" style="23" customWidth="1"/>
    <col min="3330" max="3330" width="10.42578125" style="23" customWidth="1"/>
    <col min="3331" max="3331" width="12.5703125" style="23" customWidth="1"/>
    <col min="3332" max="3332" width="4.5703125" style="23" customWidth="1"/>
    <col min="3333" max="3333" width="13.7109375" style="23" customWidth="1"/>
    <col min="3334" max="3334" width="14.42578125" style="23" customWidth="1"/>
    <col min="3335" max="3335" width="6.42578125" style="23" customWidth="1"/>
    <col min="3336" max="3336" width="13.85546875" style="23" customWidth="1"/>
    <col min="3337" max="3337" width="11.5703125" style="23" customWidth="1"/>
    <col min="3338" max="3338" width="6" style="23" customWidth="1"/>
    <col min="3339" max="3339" width="5" style="23" customWidth="1"/>
    <col min="3340" max="3340" width="8.5703125" style="23" customWidth="1"/>
    <col min="3341" max="3342" width="14" style="23" customWidth="1"/>
    <col min="3343" max="3344" width="25.7109375" style="23" customWidth="1"/>
    <col min="3345" max="3584" width="9.140625" style="23"/>
    <col min="3585" max="3585" width="7.28515625" style="23" customWidth="1"/>
    <col min="3586" max="3586" width="10.42578125" style="23" customWidth="1"/>
    <col min="3587" max="3587" width="12.5703125" style="23" customWidth="1"/>
    <col min="3588" max="3588" width="4.5703125" style="23" customWidth="1"/>
    <col min="3589" max="3589" width="13.7109375" style="23" customWidth="1"/>
    <col min="3590" max="3590" width="14.42578125" style="23" customWidth="1"/>
    <col min="3591" max="3591" width="6.42578125" style="23" customWidth="1"/>
    <col min="3592" max="3592" width="13.85546875" style="23" customWidth="1"/>
    <col min="3593" max="3593" width="11.5703125" style="23" customWidth="1"/>
    <col min="3594" max="3594" width="6" style="23" customWidth="1"/>
    <col min="3595" max="3595" width="5" style="23" customWidth="1"/>
    <col min="3596" max="3596" width="8.5703125" style="23" customWidth="1"/>
    <col min="3597" max="3598" width="14" style="23" customWidth="1"/>
    <col min="3599" max="3600" width="25.7109375" style="23" customWidth="1"/>
    <col min="3601" max="3840" width="9.140625" style="23"/>
    <col min="3841" max="3841" width="7.28515625" style="23" customWidth="1"/>
    <col min="3842" max="3842" width="10.42578125" style="23" customWidth="1"/>
    <col min="3843" max="3843" width="12.5703125" style="23" customWidth="1"/>
    <col min="3844" max="3844" width="4.5703125" style="23" customWidth="1"/>
    <col min="3845" max="3845" width="13.7109375" style="23" customWidth="1"/>
    <col min="3846" max="3846" width="14.42578125" style="23" customWidth="1"/>
    <col min="3847" max="3847" width="6.42578125" style="23" customWidth="1"/>
    <col min="3848" max="3848" width="13.85546875" style="23" customWidth="1"/>
    <col min="3849" max="3849" width="11.5703125" style="23" customWidth="1"/>
    <col min="3850" max="3850" width="6" style="23" customWidth="1"/>
    <col min="3851" max="3851" width="5" style="23" customWidth="1"/>
    <col min="3852" max="3852" width="8.5703125" style="23" customWidth="1"/>
    <col min="3853" max="3854" width="14" style="23" customWidth="1"/>
    <col min="3855" max="3856" width="25.7109375" style="23" customWidth="1"/>
    <col min="3857" max="4096" width="9.140625" style="23"/>
    <col min="4097" max="4097" width="7.28515625" style="23" customWidth="1"/>
    <col min="4098" max="4098" width="10.42578125" style="23" customWidth="1"/>
    <col min="4099" max="4099" width="12.5703125" style="23" customWidth="1"/>
    <col min="4100" max="4100" width="4.5703125" style="23" customWidth="1"/>
    <col min="4101" max="4101" width="13.7109375" style="23" customWidth="1"/>
    <col min="4102" max="4102" width="14.42578125" style="23" customWidth="1"/>
    <col min="4103" max="4103" width="6.42578125" style="23" customWidth="1"/>
    <col min="4104" max="4104" width="13.85546875" style="23" customWidth="1"/>
    <col min="4105" max="4105" width="11.5703125" style="23" customWidth="1"/>
    <col min="4106" max="4106" width="6" style="23" customWidth="1"/>
    <col min="4107" max="4107" width="5" style="23" customWidth="1"/>
    <col min="4108" max="4108" width="8.5703125" style="23" customWidth="1"/>
    <col min="4109" max="4110" width="14" style="23" customWidth="1"/>
    <col min="4111" max="4112" width="25.7109375" style="23" customWidth="1"/>
    <col min="4113" max="4352" width="9.140625" style="23"/>
    <col min="4353" max="4353" width="7.28515625" style="23" customWidth="1"/>
    <col min="4354" max="4354" width="10.42578125" style="23" customWidth="1"/>
    <col min="4355" max="4355" width="12.5703125" style="23" customWidth="1"/>
    <col min="4356" max="4356" width="4.5703125" style="23" customWidth="1"/>
    <col min="4357" max="4357" width="13.7109375" style="23" customWidth="1"/>
    <col min="4358" max="4358" width="14.42578125" style="23" customWidth="1"/>
    <col min="4359" max="4359" width="6.42578125" style="23" customWidth="1"/>
    <col min="4360" max="4360" width="13.85546875" style="23" customWidth="1"/>
    <col min="4361" max="4361" width="11.5703125" style="23" customWidth="1"/>
    <col min="4362" max="4362" width="6" style="23" customWidth="1"/>
    <col min="4363" max="4363" width="5" style="23" customWidth="1"/>
    <col min="4364" max="4364" width="8.5703125" style="23" customWidth="1"/>
    <col min="4365" max="4366" width="14" style="23" customWidth="1"/>
    <col min="4367" max="4368" width="25.7109375" style="23" customWidth="1"/>
    <col min="4369" max="4608" width="9.140625" style="23"/>
    <col min="4609" max="4609" width="7.28515625" style="23" customWidth="1"/>
    <col min="4610" max="4610" width="10.42578125" style="23" customWidth="1"/>
    <col min="4611" max="4611" width="12.5703125" style="23" customWidth="1"/>
    <col min="4612" max="4612" width="4.5703125" style="23" customWidth="1"/>
    <col min="4613" max="4613" width="13.7109375" style="23" customWidth="1"/>
    <col min="4614" max="4614" width="14.42578125" style="23" customWidth="1"/>
    <col min="4615" max="4615" width="6.42578125" style="23" customWidth="1"/>
    <col min="4616" max="4616" width="13.85546875" style="23" customWidth="1"/>
    <col min="4617" max="4617" width="11.5703125" style="23" customWidth="1"/>
    <col min="4618" max="4618" width="6" style="23" customWidth="1"/>
    <col min="4619" max="4619" width="5" style="23" customWidth="1"/>
    <col min="4620" max="4620" width="8.5703125" style="23" customWidth="1"/>
    <col min="4621" max="4622" width="14" style="23" customWidth="1"/>
    <col min="4623" max="4624" width="25.7109375" style="23" customWidth="1"/>
    <col min="4625" max="4864" width="9.140625" style="23"/>
    <col min="4865" max="4865" width="7.28515625" style="23" customWidth="1"/>
    <col min="4866" max="4866" width="10.42578125" style="23" customWidth="1"/>
    <col min="4867" max="4867" width="12.5703125" style="23" customWidth="1"/>
    <col min="4868" max="4868" width="4.5703125" style="23" customWidth="1"/>
    <col min="4869" max="4869" width="13.7109375" style="23" customWidth="1"/>
    <col min="4870" max="4870" width="14.42578125" style="23" customWidth="1"/>
    <col min="4871" max="4871" width="6.42578125" style="23" customWidth="1"/>
    <col min="4872" max="4872" width="13.85546875" style="23" customWidth="1"/>
    <col min="4873" max="4873" width="11.5703125" style="23" customWidth="1"/>
    <col min="4874" max="4874" width="6" style="23" customWidth="1"/>
    <col min="4875" max="4875" width="5" style="23" customWidth="1"/>
    <col min="4876" max="4876" width="8.5703125" style="23" customWidth="1"/>
    <col min="4877" max="4878" width="14" style="23" customWidth="1"/>
    <col min="4879" max="4880" width="25.7109375" style="23" customWidth="1"/>
    <col min="4881" max="5120" width="9.140625" style="23"/>
    <col min="5121" max="5121" width="7.28515625" style="23" customWidth="1"/>
    <col min="5122" max="5122" width="10.42578125" style="23" customWidth="1"/>
    <col min="5123" max="5123" width="12.5703125" style="23" customWidth="1"/>
    <col min="5124" max="5124" width="4.5703125" style="23" customWidth="1"/>
    <col min="5125" max="5125" width="13.7109375" style="23" customWidth="1"/>
    <col min="5126" max="5126" width="14.42578125" style="23" customWidth="1"/>
    <col min="5127" max="5127" width="6.42578125" style="23" customWidth="1"/>
    <col min="5128" max="5128" width="13.85546875" style="23" customWidth="1"/>
    <col min="5129" max="5129" width="11.5703125" style="23" customWidth="1"/>
    <col min="5130" max="5130" width="6" style="23" customWidth="1"/>
    <col min="5131" max="5131" width="5" style="23" customWidth="1"/>
    <col min="5132" max="5132" width="8.5703125" style="23" customWidth="1"/>
    <col min="5133" max="5134" width="14" style="23" customWidth="1"/>
    <col min="5135" max="5136" width="25.7109375" style="23" customWidth="1"/>
    <col min="5137" max="5376" width="9.140625" style="23"/>
    <col min="5377" max="5377" width="7.28515625" style="23" customWidth="1"/>
    <col min="5378" max="5378" width="10.42578125" style="23" customWidth="1"/>
    <col min="5379" max="5379" width="12.5703125" style="23" customWidth="1"/>
    <col min="5380" max="5380" width="4.5703125" style="23" customWidth="1"/>
    <col min="5381" max="5381" width="13.7109375" style="23" customWidth="1"/>
    <col min="5382" max="5382" width="14.42578125" style="23" customWidth="1"/>
    <col min="5383" max="5383" width="6.42578125" style="23" customWidth="1"/>
    <col min="5384" max="5384" width="13.85546875" style="23" customWidth="1"/>
    <col min="5385" max="5385" width="11.5703125" style="23" customWidth="1"/>
    <col min="5386" max="5386" width="6" style="23" customWidth="1"/>
    <col min="5387" max="5387" width="5" style="23" customWidth="1"/>
    <col min="5388" max="5388" width="8.5703125" style="23" customWidth="1"/>
    <col min="5389" max="5390" width="14" style="23" customWidth="1"/>
    <col min="5391" max="5392" width="25.7109375" style="23" customWidth="1"/>
    <col min="5393" max="5632" width="9.140625" style="23"/>
    <col min="5633" max="5633" width="7.28515625" style="23" customWidth="1"/>
    <col min="5634" max="5634" width="10.42578125" style="23" customWidth="1"/>
    <col min="5635" max="5635" width="12.5703125" style="23" customWidth="1"/>
    <col min="5636" max="5636" width="4.5703125" style="23" customWidth="1"/>
    <col min="5637" max="5637" width="13.7109375" style="23" customWidth="1"/>
    <col min="5638" max="5638" width="14.42578125" style="23" customWidth="1"/>
    <col min="5639" max="5639" width="6.42578125" style="23" customWidth="1"/>
    <col min="5640" max="5640" width="13.85546875" style="23" customWidth="1"/>
    <col min="5641" max="5641" width="11.5703125" style="23" customWidth="1"/>
    <col min="5642" max="5642" width="6" style="23" customWidth="1"/>
    <col min="5643" max="5643" width="5" style="23" customWidth="1"/>
    <col min="5644" max="5644" width="8.5703125" style="23" customWidth="1"/>
    <col min="5645" max="5646" width="14" style="23" customWidth="1"/>
    <col min="5647" max="5648" width="25.7109375" style="23" customWidth="1"/>
    <col min="5649" max="5888" width="9.140625" style="23"/>
    <col min="5889" max="5889" width="7.28515625" style="23" customWidth="1"/>
    <col min="5890" max="5890" width="10.42578125" style="23" customWidth="1"/>
    <col min="5891" max="5891" width="12.5703125" style="23" customWidth="1"/>
    <col min="5892" max="5892" width="4.5703125" style="23" customWidth="1"/>
    <col min="5893" max="5893" width="13.7109375" style="23" customWidth="1"/>
    <col min="5894" max="5894" width="14.42578125" style="23" customWidth="1"/>
    <col min="5895" max="5895" width="6.42578125" style="23" customWidth="1"/>
    <col min="5896" max="5896" width="13.85546875" style="23" customWidth="1"/>
    <col min="5897" max="5897" width="11.5703125" style="23" customWidth="1"/>
    <col min="5898" max="5898" width="6" style="23" customWidth="1"/>
    <col min="5899" max="5899" width="5" style="23" customWidth="1"/>
    <col min="5900" max="5900" width="8.5703125" style="23" customWidth="1"/>
    <col min="5901" max="5902" width="14" style="23" customWidth="1"/>
    <col min="5903" max="5904" width="25.7109375" style="23" customWidth="1"/>
    <col min="5905" max="6144" width="9.140625" style="23"/>
    <col min="6145" max="6145" width="7.28515625" style="23" customWidth="1"/>
    <col min="6146" max="6146" width="10.42578125" style="23" customWidth="1"/>
    <col min="6147" max="6147" width="12.5703125" style="23" customWidth="1"/>
    <col min="6148" max="6148" width="4.5703125" style="23" customWidth="1"/>
    <col min="6149" max="6149" width="13.7109375" style="23" customWidth="1"/>
    <col min="6150" max="6150" width="14.42578125" style="23" customWidth="1"/>
    <col min="6151" max="6151" width="6.42578125" style="23" customWidth="1"/>
    <col min="6152" max="6152" width="13.85546875" style="23" customWidth="1"/>
    <col min="6153" max="6153" width="11.5703125" style="23" customWidth="1"/>
    <col min="6154" max="6154" width="6" style="23" customWidth="1"/>
    <col min="6155" max="6155" width="5" style="23" customWidth="1"/>
    <col min="6156" max="6156" width="8.5703125" style="23" customWidth="1"/>
    <col min="6157" max="6158" width="14" style="23" customWidth="1"/>
    <col min="6159" max="6160" width="25.7109375" style="23" customWidth="1"/>
    <col min="6161" max="6400" width="9.140625" style="23"/>
    <col min="6401" max="6401" width="7.28515625" style="23" customWidth="1"/>
    <col min="6402" max="6402" width="10.42578125" style="23" customWidth="1"/>
    <col min="6403" max="6403" width="12.5703125" style="23" customWidth="1"/>
    <col min="6404" max="6404" width="4.5703125" style="23" customWidth="1"/>
    <col min="6405" max="6405" width="13.7109375" style="23" customWidth="1"/>
    <col min="6406" max="6406" width="14.42578125" style="23" customWidth="1"/>
    <col min="6407" max="6407" width="6.42578125" style="23" customWidth="1"/>
    <col min="6408" max="6408" width="13.85546875" style="23" customWidth="1"/>
    <col min="6409" max="6409" width="11.5703125" style="23" customWidth="1"/>
    <col min="6410" max="6410" width="6" style="23" customWidth="1"/>
    <col min="6411" max="6411" width="5" style="23" customWidth="1"/>
    <col min="6412" max="6412" width="8.5703125" style="23" customWidth="1"/>
    <col min="6413" max="6414" width="14" style="23" customWidth="1"/>
    <col min="6415" max="6416" width="25.7109375" style="23" customWidth="1"/>
    <col min="6417" max="6656" width="9.140625" style="23"/>
    <col min="6657" max="6657" width="7.28515625" style="23" customWidth="1"/>
    <col min="6658" max="6658" width="10.42578125" style="23" customWidth="1"/>
    <col min="6659" max="6659" width="12.5703125" style="23" customWidth="1"/>
    <col min="6660" max="6660" width="4.5703125" style="23" customWidth="1"/>
    <col min="6661" max="6661" width="13.7109375" style="23" customWidth="1"/>
    <col min="6662" max="6662" width="14.42578125" style="23" customWidth="1"/>
    <col min="6663" max="6663" width="6.42578125" style="23" customWidth="1"/>
    <col min="6664" max="6664" width="13.85546875" style="23" customWidth="1"/>
    <col min="6665" max="6665" width="11.5703125" style="23" customWidth="1"/>
    <col min="6666" max="6666" width="6" style="23" customWidth="1"/>
    <col min="6667" max="6667" width="5" style="23" customWidth="1"/>
    <col min="6668" max="6668" width="8.5703125" style="23" customWidth="1"/>
    <col min="6669" max="6670" width="14" style="23" customWidth="1"/>
    <col min="6671" max="6672" width="25.7109375" style="23" customWidth="1"/>
    <col min="6673" max="6912" width="9.140625" style="23"/>
    <col min="6913" max="6913" width="7.28515625" style="23" customWidth="1"/>
    <col min="6914" max="6914" width="10.42578125" style="23" customWidth="1"/>
    <col min="6915" max="6915" width="12.5703125" style="23" customWidth="1"/>
    <col min="6916" max="6916" width="4.5703125" style="23" customWidth="1"/>
    <col min="6917" max="6917" width="13.7109375" style="23" customWidth="1"/>
    <col min="6918" max="6918" width="14.42578125" style="23" customWidth="1"/>
    <col min="6919" max="6919" width="6.42578125" style="23" customWidth="1"/>
    <col min="6920" max="6920" width="13.85546875" style="23" customWidth="1"/>
    <col min="6921" max="6921" width="11.5703125" style="23" customWidth="1"/>
    <col min="6922" max="6922" width="6" style="23" customWidth="1"/>
    <col min="6923" max="6923" width="5" style="23" customWidth="1"/>
    <col min="6924" max="6924" width="8.5703125" style="23" customWidth="1"/>
    <col min="6925" max="6926" width="14" style="23" customWidth="1"/>
    <col min="6927" max="6928" width="25.7109375" style="23" customWidth="1"/>
    <col min="6929" max="7168" width="9.140625" style="23"/>
    <col min="7169" max="7169" width="7.28515625" style="23" customWidth="1"/>
    <col min="7170" max="7170" width="10.42578125" style="23" customWidth="1"/>
    <col min="7171" max="7171" width="12.5703125" style="23" customWidth="1"/>
    <col min="7172" max="7172" width="4.5703125" style="23" customWidth="1"/>
    <col min="7173" max="7173" width="13.7109375" style="23" customWidth="1"/>
    <col min="7174" max="7174" width="14.42578125" style="23" customWidth="1"/>
    <col min="7175" max="7175" width="6.42578125" style="23" customWidth="1"/>
    <col min="7176" max="7176" width="13.85546875" style="23" customWidth="1"/>
    <col min="7177" max="7177" width="11.5703125" style="23" customWidth="1"/>
    <col min="7178" max="7178" width="6" style="23" customWidth="1"/>
    <col min="7179" max="7179" width="5" style="23" customWidth="1"/>
    <col min="7180" max="7180" width="8.5703125" style="23" customWidth="1"/>
    <col min="7181" max="7182" width="14" style="23" customWidth="1"/>
    <col min="7183" max="7184" width="25.7109375" style="23" customWidth="1"/>
    <col min="7185" max="7424" width="9.140625" style="23"/>
    <col min="7425" max="7425" width="7.28515625" style="23" customWidth="1"/>
    <col min="7426" max="7426" width="10.42578125" style="23" customWidth="1"/>
    <col min="7427" max="7427" width="12.5703125" style="23" customWidth="1"/>
    <col min="7428" max="7428" width="4.5703125" style="23" customWidth="1"/>
    <col min="7429" max="7429" width="13.7109375" style="23" customWidth="1"/>
    <col min="7430" max="7430" width="14.42578125" style="23" customWidth="1"/>
    <col min="7431" max="7431" width="6.42578125" style="23" customWidth="1"/>
    <col min="7432" max="7432" width="13.85546875" style="23" customWidth="1"/>
    <col min="7433" max="7433" width="11.5703125" style="23" customWidth="1"/>
    <col min="7434" max="7434" width="6" style="23" customWidth="1"/>
    <col min="7435" max="7435" width="5" style="23" customWidth="1"/>
    <col min="7436" max="7436" width="8.5703125" style="23" customWidth="1"/>
    <col min="7437" max="7438" width="14" style="23" customWidth="1"/>
    <col min="7439" max="7440" width="25.7109375" style="23" customWidth="1"/>
    <col min="7441" max="7680" width="9.140625" style="23"/>
    <col min="7681" max="7681" width="7.28515625" style="23" customWidth="1"/>
    <col min="7682" max="7682" width="10.42578125" style="23" customWidth="1"/>
    <col min="7683" max="7683" width="12.5703125" style="23" customWidth="1"/>
    <col min="7684" max="7684" width="4.5703125" style="23" customWidth="1"/>
    <col min="7685" max="7685" width="13.7109375" style="23" customWidth="1"/>
    <col min="7686" max="7686" width="14.42578125" style="23" customWidth="1"/>
    <col min="7687" max="7687" width="6.42578125" style="23" customWidth="1"/>
    <col min="7688" max="7688" width="13.85546875" style="23" customWidth="1"/>
    <col min="7689" max="7689" width="11.5703125" style="23" customWidth="1"/>
    <col min="7690" max="7690" width="6" style="23" customWidth="1"/>
    <col min="7691" max="7691" width="5" style="23" customWidth="1"/>
    <col min="7692" max="7692" width="8.5703125" style="23" customWidth="1"/>
    <col min="7693" max="7694" width="14" style="23" customWidth="1"/>
    <col min="7695" max="7696" width="25.7109375" style="23" customWidth="1"/>
    <col min="7697" max="7936" width="9.140625" style="23"/>
    <col min="7937" max="7937" width="7.28515625" style="23" customWidth="1"/>
    <col min="7938" max="7938" width="10.42578125" style="23" customWidth="1"/>
    <col min="7939" max="7939" width="12.5703125" style="23" customWidth="1"/>
    <col min="7940" max="7940" width="4.5703125" style="23" customWidth="1"/>
    <col min="7941" max="7941" width="13.7109375" style="23" customWidth="1"/>
    <col min="7942" max="7942" width="14.42578125" style="23" customWidth="1"/>
    <col min="7943" max="7943" width="6.42578125" style="23" customWidth="1"/>
    <col min="7944" max="7944" width="13.85546875" style="23" customWidth="1"/>
    <col min="7945" max="7945" width="11.5703125" style="23" customWidth="1"/>
    <col min="7946" max="7946" width="6" style="23" customWidth="1"/>
    <col min="7947" max="7947" width="5" style="23" customWidth="1"/>
    <col min="7948" max="7948" width="8.5703125" style="23" customWidth="1"/>
    <col min="7949" max="7950" width="14" style="23" customWidth="1"/>
    <col min="7951" max="7952" width="25.7109375" style="23" customWidth="1"/>
    <col min="7953" max="8192" width="9.140625" style="23"/>
    <col min="8193" max="8193" width="7.28515625" style="23" customWidth="1"/>
    <col min="8194" max="8194" width="10.42578125" style="23" customWidth="1"/>
    <col min="8195" max="8195" width="12.5703125" style="23" customWidth="1"/>
    <col min="8196" max="8196" width="4.5703125" style="23" customWidth="1"/>
    <col min="8197" max="8197" width="13.7109375" style="23" customWidth="1"/>
    <col min="8198" max="8198" width="14.42578125" style="23" customWidth="1"/>
    <col min="8199" max="8199" width="6.42578125" style="23" customWidth="1"/>
    <col min="8200" max="8200" width="13.85546875" style="23" customWidth="1"/>
    <col min="8201" max="8201" width="11.5703125" style="23" customWidth="1"/>
    <col min="8202" max="8202" width="6" style="23" customWidth="1"/>
    <col min="8203" max="8203" width="5" style="23" customWidth="1"/>
    <col min="8204" max="8204" width="8.5703125" style="23" customWidth="1"/>
    <col min="8205" max="8206" width="14" style="23" customWidth="1"/>
    <col min="8207" max="8208" width="25.7109375" style="23" customWidth="1"/>
    <col min="8209" max="8448" width="9.140625" style="23"/>
    <col min="8449" max="8449" width="7.28515625" style="23" customWidth="1"/>
    <col min="8450" max="8450" width="10.42578125" style="23" customWidth="1"/>
    <col min="8451" max="8451" width="12.5703125" style="23" customWidth="1"/>
    <col min="8452" max="8452" width="4.5703125" style="23" customWidth="1"/>
    <col min="8453" max="8453" width="13.7109375" style="23" customWidth="1"/>
    <col min="8454" max="8454" width="14.42578125" style="23" customWidth="1"/>
    <col min="8455" max="8455" width="6.42578125" style="23" customWidth="1"/>
    <col min="8456" max="8456" width="13.85546875" style="23" customWidth="1"/>
    <col min="8457" max="8457" width="11.5703125" style="23" customWidth="1"/>
    <col min="8458" max="8458" width="6" style="23" customWidth="1"/>
    <col min="8459" max="8459" width="5" style="23" customWidth="1"/>
    <col min="8460" max="8460" width="8.5703125" style="23" customWidth="1"/>
    <col min="8461" max="8462" width="14" style="23" customWidth="1"/>
    <col min="8463" max="8464" width="25.7109375" style="23" customWidth="1"/>
    <col min="8465" max="8704" width="9.140625" style="23"/>
    <col min="8705" max="8705" width="7.28515625" style="23" customWidth="1"/>
    <col min="8706" max="8706" width="10.42578125" style="23" customWidth="1"/>
    <col min="8707" max="8707" width="12.5703125" style="23" customWidth="1"/>
    <col min="8708" max="8708" width="4.5703125" style="23" customWidth="1"/>
    <col min="8709" max="8709" width="13.7109375" style="23" customWidth="1"/>
    <col min="8710" max="8710" width="14.42578125" style="23" customWidth="1"/>
    <col min="8711" max="8711" width="6.42578125" style="23" customWidth="1"/>
    <col min="8712" max="8712" width="13.85546875" style="23" customWidth="1"/>
    <col min="8713" max="8713" width="11.5703125" style="23" customWidth="1"/>
    <col min="8714" max="8714" width="6" style="23" customWidth="1"/>
    <col min="8715" max="8715" width="5" style="23" customWidth="1"/>
    <col min="8716" max="8716" width="8.5703125" style="23" customWidth="1"/>
    <col min="8717" max="8718" width="14" style="23" customWidth="1"/>
    <col min="8719" max="8720" width="25.7109375" style="23" customWidth="1"/>
    <col min="8721" max="8960" width="9.140625" style="23"/>
    <col min="8961" max="8961" width="7.28515625" style="23" customWidth="1"/>
    <col min="8962" max="8962" width="10.42578125" style="23" customWidth="1"/>
    <col min="8963" max="8963" width="12.5703125" style="23" customWidth="1"/>
    <col min="8964" max="8964" width="4.5703125" style="23" customWidth="1"/>
    <col min="8965" max="8965" width="13.7109375" style="23" customWidth="1"/>
    <col min="8966" max="8966" width="14.42578125" style="23" customWidth="1"/>
    <col min="8967" max="8967" width="6.42578125" style="23" customWidth="1"/>
    <col min="8968" max="8968" width="13.85546875" style="23" customWidth="1"/>
    <col min="8969" max="8969" width="11.5703125" style="23" customWidth="1"/>
    <col min="8970" max="8970" width="6" style="23" customWidth="1"/>
    <col min="8971" max="8971" width="5" style="23" customWidth="1"/>
    <col min="8972" max="8972" width="8.5703125" style="23" customWidth="1"/>
    <col min="8973" max="8974" width="14" style="23" customWidth="1"/>
    <col min="8975" max="8976" width="25.7109375" style="23" customWidth="1"/>
    <col min="8977" max="9216" width="9.140625" style="23"/>
    <col min="9217" max="9217" width="7.28515625" style="23" customWidth="1"/>
    <col min="9218" max="9218" width="10.42578125" style="23" customWidth="1"/>
    <col min="9219" max="9219" width="12.5703125" style="23" customWidth="1"/>
    <col min="9220" max="9220" width="4.5703125" style="23" customWidth="1"/>
    <col min="9221" max="9221" width="13.7109375" style="23" customWidth="1"/>
    <col min="9222" max="9222" width="14.42578125" style="23" customWidth="1"/>
    <col min="9223" max="9223" width="6.42578125" style="23" customWidth="1"/>
    <col min="9224" max="9224" width="13.85546875" style="23" customWidth="1"/>
    <col min="9225" max="9225" width="11.5703125" style="23" customWidth="1"/>
    <col min="9226" max="9226" width="6" style="23" customWidth="1"/>
    <col min="9227" max="9227" width="5" style="23" customWidth="1"/>
    <col min="9228" max="9228" width="8.5703125" style="23" customWidth="1"/>
    <col min="9229" max="9230" width="14" style="23" customWidth="1"/>
    <col min="9231" max="9232" width="25.7109375" style="23" customWidth="1"/>
    <col min="9233" max="9472" width="9.140625" style="23"/>
    <col min="9473" max="9473" width="7.28515625" style="23" customWidth="1"/>
    <col min="9474" max="9474" width="10.42578125" style="23" customWidth="1"/>
    <col min="9475" max="9475" width="12.5703125" style="23" customWidth="1"/>
    <col min="9476" max="9476" width="4.5703125" style="23" customWidth="1"/>
    <col min="9477" max="9477" width="13.7109375" style="23" customWidth="1"/>
    <col min="9478" max="9478" width="14.42578125" style="23" customWidth="1"/>
    <col min="9479" max="9479" width="6.42578125" style="23" customWidth="1"/>
    <col min="9480" max="9480" width="13.85546875" style="23" customWidth="1"/>
    <col min="9481" max="9481" width="11.5703125" style="23" customWidth="1"/>
    <col min="9482" max="9482" width="6" style="23" customWidth="1"/>
    <col min="9483" max="9483" width="5" style="23" customWidth="1"/>
    <col min="9484" max="9484" width="8.5703125" style="23" customWidth="1"/>
    <col min="9485" max="9486" width="14" style="23" customWidth="1"/>
    <col min="9487" max="9488" width="25.7109375" style="23" customWidth="1"/>
    <col min="9489" max="9728" width="9.140625" style="23"/>
    <col min="9729" max="9729" width="7.28515625" style="23" customWidth="1"/>
    <col min="9730" max="9730" width="10.42578125" style="23" customWidth="1"/>
    <col min="9731" max="9731" width="12.5703125" style="23" customWidth="1"/>
    <col min="9732" max="9732" width="4.5703125" style="23" customWidth="1"/>
    <col min="9733" max="9733" width="13.7109375" style="23" customWidth="1"/>
    <col min="9734" max="9734" width="14.42578125" style="23" customWidth="1"/>
    <col min="9735" max="9735" width="6.42578125" style="23" customWidth="1"/>
    <col min="9736" max="9736" width="13.85546875" style="23" customWidth="1"/>
    <col min="9737" max="9737" width="11.5703125" style="23" customWidth="1"/>
    <col min="9738" max="9738" width="6" style="23" customWidth="1"/>
    <col min="9739" max="9739" width="5" style="23" customWidth="1"/>
    <col min="9740" max="9740" width="8.5703125" style="23" customWidth="1"/>
    <col min="9741" max="9742" width="14" style="23" customWidth="1"/>
    <col min="9743" max="9744" width="25.7109375" style="23" customWidth="1"/>
    <col min="9745" max="9984" width="9.140625" style="23"/>
    <col min="9985" max="9985" width="7.28515625" style="23" customWidth="1"/>
    <col min="9986" max="9986" width="10.42578125" style="23" customWidth="1"/>
    <col min="9987" max="9987" width="12.5703125" style="23" customWidth="1"/>
    <col min="9988" max="9988" width="4.5703125" style="23" customWidth="1"/>
    <col min="9989" max="9989" width="13.7109375" style="23" customWidth="1"/>
    <col min="9990" max="9990" width="14.42578125" style="23" customWidth="1"/>
    <col min="9991" max="9991" width="6.42578125" style="23" customWidth="1"/>
    <col min="9992" max="9992" width="13.85546875" style="23" customWidth="1"/>
    <col min="9993" max="9993" width="11.5703125" style="23" customWidth="1"/>
    <col min="9994" max="9994" width="6" style="23" customWidth="1"/>
    <col min="9995" max="9995" width="5" style="23" customWidth="1"/>
    <col min="9996" max="9996" width="8.5703125" style="23" customWidth="1"/>
    <col min="9997" max="9998" width="14" style="23" customWidth="1"/>
    <col min="9999" max="10000" width="25.7109375" style="23" customWidth="1"/>
    <col min="10001" max="10240" width="9.140625" style="23"/>
    <col min="10241" max="10241" width="7.28515625" style="23" customWidth="1"/>
    <col min="10242" max="10242" width="10.42578125" style="23" customWidth="1"/>
    <col min="10243" max="10243" width="12.5703125" style="23" customWidth="1"/>
    <col min="10244" max="10244" width="4.5703125" style="23" customWidth="1"/>
    <col min="10245" max="10245" width="13.7109375" style="23" customWidth="1"/>
    <col min="10246" max="10246" width="14.42578125" style="23" customWidth="1"/>
    <col min="10247" max="10247" width="6.42578125" style="23" customWidth="1"/>
    <col min="10248" max="10248" width="13.85546875" style="23" customWidth="1"/>
    <col min="10249" max="10249" width="11.5703125" style="23" customWidth="1"/>
    <col min="10250" max="10250" width="6" style="23" customWidth="1"/>
    <col min="10251" max="10251" width="5" style="23" customWidth="1"/>
    <col min="10252" max="10252" width="8.5703125" style="23" customWidth="1"/>
    <col min="10253" max="10254" width="14" style="23" customWidth="1"/>
    <col min="10255" max="10256" width="25.7109375" style="23" customWidth="1"/>
    <col min="10257" max="10496" width="9.140625" style="23"/>
    <col min="10497" max="10497" width="7.28515625" style="23" customWidth="1"/>
    <col min="10498" max="10498" width="10.42578125" style="23" customWidth="1"/>
    <col min="10499" max="10499" width="12.5703125" style="23" customWidth="1"/>
    <col min="10500" max="10500" width="4.5703125" style="23" customWidth="1"/>
    <col min="10501" max="10501" width="13.7109375" style="23" customWidth="1"/>
    <col min="10502" max="10502" width="14.42578125" style="23" customWidth="1"/>
    <col min="10503" max="10503" width="6.42578125" style="23" customWidth="1"/>
    <col min="10504" max="10504" width="13.85546875" style="23" customWidth="1"/>
    <col min="10505" max="10505" width="11.5703125" style="23" customWidth="1"/>
    <col min="10506" max="10506" width="6" style="23" customWidth="1"/>
    <col min="10507" max="10507" width="5" style="23" customWidth="1"/>
    <col min="10508" max="10508" width="8.5703125" style="23" customWidth="1"/>
    <col min="10509" max="10510" width="14" style="23" customWidth="1"/>
    <col min="10511" max="10512" width="25.7109375" style="23" customWidth="1"/>
    <col min="10513" max="10752" width="9.140625" style="23"/>
    <col min="10753" max="10753" width="7.28515625" style="23" customWidth="1"/>
    <col min="10754" max="10754" width="10.42578125" style="23" customWidth="1"/>
    <col min="10755" max="10755" width="12.5703125" style="23" customWidth="1"/>
    <col min="10756" max="10756" width="4.5703125" style="23" customWidth="1"/>
    <col min="10757" max="10757" width="13.7109375" style="23" customWidth="1"/>
    <col min="10758" max="10758" width="14.42578125" style="23" customWidth="1"/>
    <col min="10759" max="10759" width="6.42578125" style="23" customWidth="1"/>
    <col min="10760" max="10760" width="13.85546875" style="23" customWidth="1"/>
    <col min="10761" max="10761" width="11.5703125" style="23" customWidth="1"/>
    <col min="10762" max="10762" width="6" style="23" customWidth="1"/>
    <col min="10763" max="10763" width="5" style="23" customWidth="1"/>
    <col min="10764" max="10764" width="8.5703125" style="23" customWidth="1"/>
    <col min="10765" max="10766" width="14" style="23" customWidth="1"/>
    <col min="10767" max="10768" width="25.7109375" style="23" customWidth="1"/>
    <col min="10769" max="11008" width="9.140625" style="23"/>
    <col min="11009" max="11009" width="7.28515625" style="23" customWidth="1"/>
    <col min="11010" max="11010" width="10.42578125" style="23" customWidth="1"/>
    <col min="11011" max="11011" width="12.5703125" style="23" customWidth="1"/>
    <col min="11012" max="11012" width="4.5703125" style="23" customWidth="1"/>
    <col min="11013" max="11013" width="13.7109375" style="23" customWidth="1"/>
    <col min="11014" max="11014" width="14.42578125" style="23" customWidth="1"/>
    <col min="11015" max="11015" width="6.42578125" style="23" customWidth="1"/>
    <col min="11016" max="11016" width="13.85546875" style="23" customWidth="1"/>
    <col min="11017" max="11017" width="11.5703125" style="23" customWidth="1"/>
    <col min="11018" max="11018" width="6" style="23" customWidth="1"/>
    <col min="11019" max="11019" width="5" style="23" customWidth="1"/>
    <col min="11020" max="11020" width="8.5703125" style="23" customWidth="1"/>
    <col min="11021" max="11022" width="14" style="23" customWidth="1"/>
    <col min="11023" max="11024" width="25.7109375" style="23" customWidth="1"/>
    <col min="11025" max="11264" width="9.140625" style="23"/>
    <col min="11265" max="11265" width="7.28515625" style="23" customWidth="1"/>
    <col min="11266" max="11266" width="10.42578125" style="23" customWidth="1"/>
    <col min="11267" max="11267" width="12.5703125" style="23" customWidth="1"/>
    <col min="11268" max="11268" width="4.5703125" style="23" customWidth="1"/>
    <col min="11269" max="11269" width="13.7109375" style="23" customWidth="1"/>
    <col min="11270" max="11270" width="14.42578125" style="23" customWidth="1"/>
    <col min="11271" max="11271" width="6.42578125" style="23" customWidth="1"/>
    <col min="11272" max="11272" width="13.85546875" style="23" customWidth="1"/>
    <col min="11273" max="11273" width="11.5703125" style="23" customWidth="1"/>
    <col min="11274" max="11274" width="6" style="23" customWidth="1"/>
    <col min="11275" max="11275" width="5" style="23" customWidth="1"/>
    <col min="11276" max="11276" width="8.5703125" style="23" customWidth="1"/>
    <col min="11277" max="11278" width="14" style="23" customWidth="1"/>
    <col min="11279" max="11280" width="25.7109375" style="23" customWidth="1"/>
    <col min="11281" max="11520" width="9.140625" style="23"/>
    <col min="11521" max="11521" width="7.28515625" style="23" customWidth="1"/>
    <col min="11522" max="11522" width="10.42578125" style="23" customWidth="1"/>
    <col min="11523" max="11523" width="12.5703125" style="23" customWidth="1"/>
    <col min="11524" max="11524" width="4.5703125" style="23" customWidth="1"/>
    <col min="11525" max="11525" width="13.7109375" style="23" customWidth="1"/>
    <col min="11526" max="11526" width="14.42578125" style="23" customWidth="1"/>
    <col min="11527" max="11527" width="6.42578125" style="23" customWidth="1"/>
    <col min="11528" max="11528" width="13.85546875" style="23" customWidth="1"/>
    <col min="11529" max="11529" width="11.5703125" style="23" customWidth="1"/>
    <col min="11530" max="11530" width="6" style="23" customWidth="1"/>
    <col min="11531" max="11531" width="5" style="23" customWidth="1"/>
    <col min="11532" max="11532" width="8.5703125" style="23" customWidth="1"/>
    <col min="11533" max="11534" width="14" style="23" customWidth="1"/>
    <col min="11535" max="11536" width="25.7109375" style="23" customWidth="1"/>
    <col min="11537" max="11776" width="9.140625" style="23"/>
    <col min="11777" max="11777" width="7.28515625" style="23" customWidth="1"/>
    <col min="11778" max="11778" width="10.42578125" style="23" customWidth="1"/>
    <col min="11779" max="11779" width="12.5703125" style="23" customWidth="1"/>
    <col min="11780" max="11780" width="4.5703125" style="23" customWidth="1"/>
    <col min="11781" max="11781" width="13.7109375" style="23" customWidth="1"/>
    <col min="11782" max="11782" width="14.42578125" style="23" customWidth="1"/>
    <col min="11783" max="11783" width="6.42578125" style="23" customWidth="1"/>
    <col min="11784" max="11784" width="13.85546875" style="23" customWidth="1"/>
    <col min="11785" max="11785" width="11.5703125" style="23" customWidth="1"/>
    <col min="11786" max="11786" width="6" style="23" customWidth="1"/>
    <col min="11787" max="11787" width="5" style="23" customWidth="1"/>
    <col min="11788" max="11788" width="8.5703125" style="23" customWidth="1"/>
    <col min="11789" max="11790" width="14" style="23" customWidth="1"/>
    <col min="11791" max="11792" width="25.7109375" style="23" customWidth="1"/>
    <col min="11793" max="12032" width="9.140625" style="23"/>
    <col min="12033" max="12033" width="7.28515625" style="23" customWidth="1"/>
    <col min="12034" max="12034" width="10.42578125" style="23" customWidth="1"/>
    <col min="12035" max="12035" width="12.5703125" style="23" customWidth="1"/>
    <col min="12036" max="12036" width="4.5703125" style="23" customWidth="1"/>
    <col min="12037" max="12037" width="13.7109375" style="23" customWidth="1"/>
    <col min="12038" max="12038" width="14.42578125" style="23" customWidth="1"/>
    <col min="12039" max="12039" width="6.42578125" style="23" customWidth="1"/>
    <col min="12040" max="12040" width="13.85546875" style="23" customWidth="1"/>
    <col min="12041" max="12041" width="11.5703125" style="23" customWidth="1"/>
    <col min="12042" max="12042" width="6" style="23" customWidth="1"/>
    <col min="12043" max="12043" width="5" style="23" customWidth="1"/>
    <col min="12044" max="12044" width="8.5703125" style="23" customWidth="1"/>
    <col min="12045" max="12046" width="14" style="23" customWidth="1"/>
    <col min="12047" max="12048" width="25.7109375" style="23" customWidth="1"/>
    <col min="12049" max="12288" width="9.140625" style="23"/>
    <col min="12289" max="12289" width="7.28515625" style="23" customWidth="1"/>
    <col min="12290" max="12290" width="10.42578125" style="23" customWidth="1"/>
    <col min="12291" max="12291" width="12.5703125" style="23" customWidth="1"/>
    <col min="12292" max="12292" width="4.5703125" style="23" customWidth="1"/>
    <col min="12293" max="12293" width="13.7109375" style="23" customWidth="1"/>
    <col min="12294" max="12294" width="14.42578125" style="23" customWidth="1"/>
    <col min="12295" max="12295" width="6.42578125" style="23" customWidth="1"/>
    <col min="12296" max="12296" width="13.85546875" style="23" customWidth="1"/>
    <col min="12297" max="12297" width="11.5703125" style="23" customWidth="1"/>
    <col min="12298" max="12298" width="6" style="23" customWidth="1"/>
    <col min="12299" max="12299" width="5" style="23" customWidth="1"/>
    <col min="12300" max="12300" width="8.5703125" style="23" customWidth="1"/>
    <col min="12301" max="12302" width="14" style="23" customWidth="1"/>
    <col min="12303" max="12304" width="25.7109375" style="23" customWidth="1"/>
    <col min="12305" max="12544" width="9.140625" style="23"/>
    <col min="12545" max="12545" width="7.28515625" style="23" customWidth="1"/>
    <col min="12546" max="12546" width="10.42578125" style="23" customWidth="1"/>
    <col min="12547" max="12547" width="12.5703125" style="23" customWidth="1"/>
    <col min="12548" max="12548" width="4.5703125" style="23" customWidth="1"/>
    <col min="12549" max="12549" width="13.7109375" style="23" customWidth="1"/>
    <col min="12550" max="12550" width="14.42578125" style="23" customWidth="1"/>
    <col min="12551" max="12551" width="6.42578125" style="23" customWidth="1"/>
    <col min="12552" max="12552" width="13.85546875" style="23" customWidth="1"/>
    <col min="12553" max="12553" width="11.5703125" style="23" customWidth="1"/>
    <col min="12554" max="12554" width="6" style="23" customWidth="1"/>
    <col min="12555" max="12555" width="5" style="23" customWidth="1"/>
    <col min="12556" max="12556" width="8.5703125" style="23" customWidth="1"/>
    <col min="12557" max="12558" width="14" style="23" customWidth="1"/>
    <col min="12559" max="12560" width="25.7109375" style="23" customWidth="1"/>
    <col min="12561" max="12800" width="9.140625" style="23"/>
    <col min="12801" max="12801" width="7.28515625" style="23" customWidth="1"/>
    <col min="12802" max="12802" width="10.42578125" style="23" customWidth="1"/>
    <col min="12803" max="12803" width="12.5703125" style="23" customWidth="1"/>
    <col min="12804" max="12804" width="4.5703125" style="23" customWidth="1"/>
    <col min="12805" max="12805" width="13.7109375" style="23" customWidth="1"/>
    <col min="12806" max="12806" width="14.42578125" style="23" customWidth="1"/>
    <col min="12807" max="12807" width="6.42578125" style="23" customWidth="1"/>
    <col min="12808" max="12808" width="13.85546875" style="23" customWidth="1"/>
    <col min="12809" max="12809" width="11.5703125" style="23" customWidth="1"/>
    <col min="12810" max="12810" width="6" style="23" customWidth="1"/>
    <col min="12811" max="12811" width="5" style="23" customWidth="1"/>
    <col min="12812" max="12812" width="8.5703125" style="23" customWidth="1"/>
    <col min="12813" max="12814" width="14" style="23" customWidth="1"/>
    <col min="12815" max="12816" width="25.7109375" style="23" customWidth="1"/>
    <col min="12817" max="13056" width="9.140625" style="23"/>
    <col min="13057" max="13057" width="7.28515625" style="23" customWidth="1"/>
    <col min="13058" max="13058" width="10.42578125" style="23" customWidth="1"/>
    <col min="13059" max="13059" width="12.5703125" style="23" customWidth="1"/>
    <col min="13060" max="13060" width="4.5703125" style="23" customWidth="1"/>
    <col min="13061" max="13061" width="13.7109375" style="23" customWidth="1"/>
    <col min="13062" max="13062" width="14.42578125" style="23" customWidth="1"/>
    <col min="13063" max="13063" width="6.42578125" style="23" customWidth="1"/>
    <col min="13064" max="13064" width="13.85546875" style="23" customWidth="1"/>
    <col min="13065" max="13065" width="11.5703125" style="23" customWidth="1"/>
    <col min="13066" max="13066" width="6" style="23" customWidth="1"/>
    <col min="13067" max="13067" width="5" style="23" customWidth="1"/>
    <col min="13068" max="13068" width="8.5703125" style="23" customWidth="1"/>
    <col min="13069" max="13070" width="14" style="23" customWidth="1"/>
    <col min="13071" max="13072" width="25.7109375" style="23" customWidth="1"/>
    <col min="13073" max="13312" width="9.140625" style="23"/>
    <col min="13313" max="13313" width="7.28515625" style="23" customWidth="1"/>
    <col min="13314" max="13314" width="10.42578125" style="23" customWidth="1"/>
    <col min="13315" max="13315" width="12.5703125" style="23" customWidth="1"/>
    <col min="13316" max="13316" width="4.5703125" style="23" customWidth="1"/>
    <col min="13317" max="13317" width="13.7109375" style="23" customWidth="1"/>
    <col min="13318" max="13318" width="14.42578125" style="23" customWidth="1"/>
    <col min="13319" max="13319" width="6.42578125" style="23" customWidth="1"/>
    <col min="13320" max="13320" width="13.85546875" style="23" customWidth="1"/>
    <col min="13321" max="13321" width="11.5703125" style="23" customWidth="1"/>
    <col min="13322" max="13322" width="6" style="23" customWidth="1"/>
    <col min="13323" max="13323" width="5" style="23" customWidth="1"/>
    <col min="13324" max="13324" width="8.5703125" style="23" customWidth="1"/>
    <col min="13325" max="13326" width="14" style="23" customWidth="1"/>
    <col min="13327" max="13328" width="25.7109375" style="23" customWidth="1"/>
    <col min="13329" max="13568" width="9.140625" style="23"/>
    <col min="13569" max="13569" width="7.28515625" style="23" customWidth="1"/>
    <col min="13570" max="13570" width="10.42578125" style="23" customWidth="1"/>
    <col min="13571" max="13571" width="12.5703125" style="23" customWidth="1"/>
    <col min="13572" max="13572" width="4.5703125" style="23" customWidth="1"/>
    <col min="13573" max="13573" width="13.7109375" style="23" customWidth="1"/>
    <col min="13574" max="13574" width="14.42578125" style="23" customWidth="1"/>
    <col min="13575" max="13575" width="6.42578125" style="23" customWidth="1"/>
    <col min="13576" max="13576" width="13.85546875" style="23" customWidth="1"/>
    <col min="13577" max="13577" width="11.5703125" style="23" customWidth="1"/>
    <col min="13578" max="13578" width="6" style="23" customWidth="1"/>
    <col min="13579" max="13579" width="5" style="23" customWidth="1"/>
    <col min="13580" max="13580" width="8.5703125" style="23" customWidth="1"/>
    <col min="13581" max="13582" width="14" style="23" customWidth="1"/>
    <col min="13583" max="13584" width="25.7109375" style="23" customWidth="1"/>
    <col min="13585" max="13824" width="9.140625" style="23"/>
    <col min="13825" max="13825" width="7.28515625" style="23" customWidth="1"/>
    <col min="13826" max="13826" width="10.42578125" style="23" customWidth="1"/>
    <col min="13827" max="13827" width="12.5703125" style="23" customWidth="1"/>
    <col min="13828" max="13828" width="4.5703125" style="23" customWidth="1"/>
    <col min="13829" max="13829" width="13.7109375" style="23" customWidth="1"/>
    <col min="13830" max="13830" width="14.42578125" style="23" customWidth="1"/>
    <col min="13831" max="13831" width="6.42578125" style="23" customWidth="1"/>
    <col min="13832" max="13832" width="13.85546875" style="23" customWidth="1"/>
    <col min="13833" max="13833" width="11.5703125" style="23" customWidth="1"/>
    <col min="13834" max="13834" width="6" style="23" customWidth="1"/>
    <col min="13835" max="13835" width="5" style="23" customWidth="1"/>
    <col min="13836" max="13836" width="8.5703125" style="23" customWidth="1"/>
    <col min="13837" max="13838" width="14" style="23" customWidth="1"/>
    <col min="13839" max="13840" width="25.7109375" style="23" customWidth="1"/>
    <col min="13841" max="14080" width="9.140625" style="23"/>
    <col min="14081" max="14081" width="7.28515625" style="23" customWidth="1"/>
    <col min="14082" max="14082" width="10.42578125" style="23" customWidth="1"/>
    <col min="14083" max="14083" width="12.5703125" style="23" customWidth="1"/>
    <col min="14084" max="14084" width="4.5703125" style="23" customWidth="1"/>
    <col min="14085" max="14085" width="13.7109375" style="23" customWidth="1"/>
    <col min="14086" max="14086" width="14.42578125" style="23" customWidth="1"/>
    <col min="14087" max="14087" width="6.42578125" style="23" customWidth="1"/>
    <col min="14088" max="14088" width="13.85546875" style="23" customWidth="1"/>
    <col min="14089" max="14089" width="11.5703125" style="23" customWidth="1"/>
    <col min="14090" max="14090" width="6" style="23" customWidth="1"/>
    <col min="14091" max="14091" width="5" style="23" customWidth="1"/>
    <col min="14092" max="14092" width="8.5703125" style="23" customWidth="1"/>
    <col min="14093" max="14094" width="14" style="23" customWidth="1"/>
    <col min="14095" max="14096" width="25.7109375" style="23" customWidth="1"/>
    <col min="14097" max="14336" width="9.140625" style="23"/>
    <col min="14337" max="14337" width="7.28515625" style="23" customWidth="1"/>
    <col min="14338" max="14338" width="10.42578125" style="23" customWidth="1"/>
    <col min="14339" max="14339" width="12.5703125" style="23" customWidth="1"/>
    <col min="14340" max="14340" width="4.5703125" style="23" customWidth="1"/>
    <col min="14341" max="14341" width="13.7109375" style="23" customWidth="1"/>
    <col min="14342" max="14342" width="14.42578125" style="23" customWidth="1"/>
    <col min="14343" max="14343" width="6.42578125" style="23" customWidth="1"/>
    <col min="14344" max="14344" width="13.85546875" style="23" customWidth="1"/>
    <col min="14345" max="14345" width="11.5703125" style="23" customWidth="1"/>
    <col min="14346" max="14346" width="6" style="23" customWidth="1"/>
    <col min="14347" max="14347" width="5" style="23" customWidth="1"/>
    <col min="14348" max="14348" width="8.5703125" style="23" customWidth="1"/>
    <col min="14349" max="14350" width="14" style="23" customWidth="1"/>
    <col min="14351" max="14352" width="25.7109375" style="23" customWidth="1"/>
    <col min="14353" max="14592" width="9.140625" style="23"/>
    <col min="14593" max="14593" width="7.28515625" style="23" customWidth="1"/>
    <col min="14594" max="14594" width="10.42578125" style="23" customWidth="1"/>
    <col min="14595" max="14595" width="12.5703125" style="23" customWidth="1"/>
    <col min="14596" max="14596" width="4.5703125" style="23" customWidth="1"/>
    <col min="14597" max="14597" width="13.7109375" style="23" customWidth="1"/>
    <col min="14598" max="14598" width="14.42578125" style="23" customWidth="1"/>
    <col min="14599" max="14599" width="6.42578125" style="23" customWidth="1"/>
    <col min="14600" max="14600" width="13.85546875" style="23" customWidth="1"/>
    <col min="14601" max="14601" width="11.5703125" style="23" customWidth="1"/>
    <col min="14602" max="14602" width="6" style="23" customWidth="1"/>
    <col min="14603" max="14603" width="5" style="23" customWidth="1"/>
    <col min="14604" max="14604" width="8.5703125" style="23" customWidth="1"/>
    <col min="14605" max="14606" width="14" style="23" customWidth="1"/>
    <col min="14607" max="14608" width="25.7109375" style="23" customWidth="1"/>
    <col min="14609" max="14848" width="9.140625" style="23"/>
    <col min="14849" max="14849" width="7.28515625" style="23" customWidth="1"/>
    <col min="14850" max="14850" width="10.42578125" style="23" customWidth="1"/>
    <col min="14851" max="14851" width="12.5703125" style="23" customWidth="1"/>
    <col min="14852" max="14852" width="4.5703125" style="23" customWidth="1"/>
    <col min="14853" max="14853" width="13.7109375" style="23" customWidth="1"/>
    <col min="14854" max="14854" width="14.42578125" style="23" customWidth="1"/>
    <col min="14855" max="14855" width="6.42578125" style="23" customWidth="1"/>
    <col min="14856" max="14856" width="13.85546875" style="23" customWidth="1"/>
    <col min="14857" max="14857" width="11.5703125" style="23" customWidth="1"/>
    <col min="14858" max="14858" width="6" style="23" customWidth="1"/>
    <col min="14859" max="14859" width="5" style="23" customWidth="1"/>
    <col min="14860" max="14860" width="8.5703125" style="23" customWidth="1"/>
    <col min="14861" max="14862" width="14" style="23" customWidth="1"/>
    <col min="14863" max="14864" width="25.7109375" style="23" customWidth="1"/>
    <col min="14865" max="15104" width="9.140625" style="23"/>
    <col min="15105" max="15105" width="7.28515625" style="23" customWidth="1"/>
    <col min="15106" max="15106" width="10.42578125" style="23" customWidth="1"/>
    <col min="15107" max="15107" width="12.5703125" style="23" customWidth="1"/>
    <col min="15108" max="15108" width="4.5703125" style="23" customWidth="1"/>
    <col min="15109" max="15109" width="13.7109375" style="23" customWidth="1"/>
    <col min="15110" max="15110" width="14.42578125" style="23" customWidth="1"/>
    <col min="15111" max="15111" width="6.42578125" style="23" customWidth="1"/>
    <col min="15112" max="15112" width="13.85546875" style="23" customWidth="1"/>
    <col min="15113" max="15113" width="11.5703125" style="23" customWidth="1"/>
    <col min="15114" max="15114" width="6" style="23" customWidth="1"/>
    <col min="15115" max="15115" width="5" style="23" customWidth="1"/>
    <col min="15116" max="15116" width="8.5703125" style="23" customWidth="1"/>
    <col min="15117" max="15118" width="14" style="23" customWidth="1"/>
    <col min="15119" max="15120" width="25.7109375" style="23" customWidth="1"/>
    <col min="15121" max="15360" width="9.140625" style="23"/>
    <col min="15361" max="15361" width="7.28515625" style="23" customWidth="1"/>
    <col min="15362" max="15362" width="10.42578125" style="23" customWidth="1"/>
    <col min="15363" max="15363" width="12.5703125" style="23" customWidth="1"/>
    <col min="15364" max="15364" width="4.5703125" style="23" customWidth="1"/>
    <col min="15365" max="15365" width="13.7109375" style="23" customWidth="1"/>
    <col min="15366" max="15366" width="14.42578125" style="23" customWidth="1"/>
    <col min="15367" max="15367" width="6.42578125" style="23" customWidth="1"/>
    <col min="15368" max="15368" width="13.85546875" style="23" customWidth="1"/>
    <col min="15369" max="15369" width="11.5703125" style="23" customWidth="1"/>
    <col min="15370" max="15370" width="6" style="23" customWidth="1"/>
    <col min="15371" max="15371" width="5" style="23" customWidth="1"/>
    <col min="15372" max="15372" width="8.5703125" style="23" customWidth="1"/>
    <col min="15373" max="15374" width="14" style="23" customWidth="1"/>
    <col min="15375" max="15376" width="25.7109375" style="23" customWidth="1"/>
    <col min="15377" max="15616" width="9.140625" style="23"/>
    <col min="15617" max="15617" width="7.28515625" style="23" customWidth="1"/>
    <col min="15618" max="15618" width="10.42578125" style="23" customWidth="1"/>
    <col min="15619" max="15619" width="12.5703125" style="23" customWidth="1"/>
    <col min="15620" max="15620" width="4.5703125" style="23" customWidth="1"/>
    <col min="15621" max="15621" width="13.7109375" style="23" customWidth="1"/>
    <col min="15622" max="15622" width="14.42578125" style="23" customWidth="1"/>
    <col min="15623" max="15623" width="6.42578125" style="23" customWidth="1"/>
    <col min="15624" max="15624" width="13.85546875" style="23" customWidth="1"/>
    <col min="15625" max="15625" width="11.5703125" style="23" customWidth="1"/>
    <col min="15626" max="15626" width="6" style="23" customWidth="1"/>
    <col min="15627" max="15627" width="5" style="23" customWidth="1"/>
    <col min="15628" max="15628" width="8.5703125" style="23" customWidth="1"/>
    <col min="15629" max="15630" width="14" style="23" customWidth="1"/>
    <col min="15631" max="15632" width="25.7109375" style="23" customWidth="1"/>
    <col min="15633" max="15872" width="9.140625" style="23"/>
    <col min="15873" max="15873" width="7.28515625" style="23" customWidth="1"/>
    <col min="15874" max="15874" width="10.42578125" style="23" customWidth="1"/>
    <col min="15875" max="15875" width="12.5703125" style="23" customWidth="1"/>
    <col min="15876" max="15876" width="4.5703125" style="23" customWidth="1"/>
    <col min="15877" max="15877" width="13.7109375" style="23" customWidth="1"/>
    <col min="15878" max="15878" width="14.42578125" style="23" customWidth="1"/>
    <col min="15879" max="15879" width="6.42578125" style="23" customWidth="1"/>
    <col min="15880" max="15880" width="13.85546875" style="23" customWidth="1"/>
    <col min="15881" max="15881" width="11.5703125" style="23" customWidth="1"/>
    <col min="15882" max="15882" width="6" style="23" customWidth="1"/>
    <col min="15883" max="15883" width="5" style="23" customWidth="1"/>
    <col min="15884" max="15884" width="8.5703125" style="23" customWidth="1"/>
    <col min="15885" max="15886" width="14" style="23" customWidth="1"/>
    <col min="15887" max="15888" width="25.7109375" style="23" customWidth="1"/>
    <col min="15889" max="16128" width="9.140625" style="23"/>
    <col min="16129" max="16129" width="7.28515625" style="23" customWidth="1"/>
    <col min="16130" max="16130" width="10.42578125" style="23" customWidth="1"/>
    <col min="16131" max="16131" width="12.5703125" style="23" customWidth="1"/>
    <col min="16132" max="16132" width="4.5703125" style="23" customWidth="1"/>
    <col min="16133" max="16133" width="13.7109375" style="23" customWidth="1"/>
    <col min="16134" max="16134" width="14.42578125" style="23" customWidth="1"/>
    <col min="16135" max="16135" width="6.42578125" style="23" customWidth="1"/>
    <col min="16136" max="16136" width="13.85546875" style="23" customWidth="1"/>
    <col min="16137" max="16137" width="11.5703125" style="23" customWidth="1"/>
    <col min="16138" max="16138" width="6" style="23" customWidth="1"/>
    <col min="16139" max="16139" width="5" style="23" customWidth="1"/>
    <col min="16140" max="16140" width="8.5703125" style="23" customWidth="1"/>
    <col min="16141" max="16142" width="14" style="23" customWidth="1"/>
    <col min="16143" max="16144" width="25.7109375" style="23" customWidth="1"/>
    <col min="16145" max="16384" width="9.140625" style="23"/>
  </cols>
  <sheetData>
    <row r="1" spans="1:16" s="60" customFormat="1" x14ac:dyDescent="0.2">
      <c r="A1" s="208" t="s">
        <v>38</v>
      </c>
      <c r="B1" s="209"/>
      <c r="C1" s="210" t="str">
        <f>IF(ISBLANK([1]Header!K10),"",[1]Header!K10)</f>
        <v/>
      </c>
      <c r="D1" s="210"/>
      <c r="E1" s="58" t="s">
        <v>71</v>
      </c>
      <c r="F1" s="211">
        <f>IF(ISBLANK([1]Header!N12),"",[1]Header!N12)</f>
        <v>42790</v>
      </c>
      <c r="G1" s="211"/>
      <c r="H1" s="211"/>
      <c r="I1" s="212" t="s">
        <v>72</v>
      </c>
      <c r="J1" s="212"/>
      <c r="K1" s="213" t="str">
        <f>IF(ISBLANK([1]Header!H16),"",[1]Header!H16)</f>
        <v>GPLA-9032-AC</v>
      </c>
      <c r="L1" s="213"/>
      <c r="M1" s="213"/>
      <c r="N1" s="214" t="s">
        <v>39</v>
      </c>
      <c r="O1" s="214"/>
      <c r="P1" s="59"/>
    </row>
    <row r="2" spans="1:16" s="60" customFormat="1" ht="12.75" customHeight="1" x14ac:dyDescent="0.2">
      <c r="A2" s="197" t="s">
        <v>40</v>
      </c>
      <c r="B2" s="198"/>
      <c r="C2" s="199" t="str">
        <f>IF(ISBLANK([1]Header!C18),"",[1]Header!C18)</f>
        <v>TL</v>
      </c>
      <c r="D2" s="199"/>
      <c r="E2" s="61" t="s">
        <v>73</v>
      </c>
      <c r="F2" s="201" t="str">
        <f>IF(ISBLANK([1]Header!C10),"",[1]Header!C10)</f>
        <v>CP 00293</v>
      </c>
      <c r="G2" s="201"/>
      <c r="H2" s="201"/>
      <c r="I2" s="27"/>
      <c r="J2" s="61" t="s">
        <v>74</v>
      </c>
      <c r="K2" s="62" t="str">
        <f>[1]Header!C16</f>
        <v>UEP2E50159129000</v>
      </c>
      <c r="L2" s="62"/>
      <c r="M2" s="62"/>
      <c r="N2" s="206" t="s">
        <v>75</v>
      </c>
      <c r="O2" s="207"/>
      <c r="P2" s="63"/>
    </row>
    <row r="3" spans="1:16" s="60" customFormat="1" x14ac:dyDescent="0.2">
      <c r="A3" s="197" t="s">
        <v>41</v>
      </c>
      <c r="B3" s="198"/>
      <c r="C3" s="199" t="str">
        <f>IF(ISBLANK([1]Header!I14),"",[1]Header!I14)</f>
        <v>L405 NAS TS DD</v>
      </c>
      <c r="D3" s="199"/>
      <c r="E3" s="61" t="s">
        <v>76</v>
      </c>
      <c r="F3" s="205" t="str">
        <f>IF(ISBLANK([1]Header!H10),"",[1]Header!H10)</f>
        <v/>
      </c>
      <c r="G3" s="205"/>
      <c r="H3" s="205"/>
      <c r="I3" s="205"/>
      <c r="J3" s="205"/>
      <c r="K3" s="205"/>
      <c r="L3" s="205"/>
      <c r="M3" s="27"/>
      <c r="N3" s="206"/>
      <c r="O3" s="206"/>
      <c r="P3" s="64"/>
    </row>
    <row r="4" spans="1:16" s="60" customFormat="1" x14ac:dyDescent="0.2">
      <c r="A4" s="197" t="s">
        <v>44</v>
      </c>
      <c r="B4" s="198"/>
      <c r="C4" s="199" t="str">
        <f>IF(ISBLANK([1]Header!L22),"",[1]Header!L22)</f>
        <v>Bend lower 34.9mm pipe</v>
      </c>
      <c r="D4" s="199"/>
      <c r="E4" s="200" t="s">
        <v>77</v>
      </c>
      <c r="F4" s="200"/>
      <c r="G4" s="201" t="str">
        <f>IF(ISBLANK([1]Header!L20),"",[1]Header!L20)</f>
        <v>UPA</v>
      </c>
      <c r="H4" s="201"/>
      <c r="I4" s="201"/>
      <c r="J4" s="201"/>
      <c r="K4" s="201"/>
      <c r="L4" s="201"/>
      <c r="M4" s="201"/>
      <c r="N4" s="27"/>
      <c r="O4" s="61"/>
      <c r="P4" s="63"/>
    </row>
    <row r="5" spans="1:16" s="60" customFormat="1" x14ac:dyDescent="0.2">
      <c r="A5" s="202" t="s">
        <v>47</v>
      </c>
      <c r="B5" s="203"/>
      <c r="C5" s="204">
        <f>IF(ISBLANK([1]Header!N10),"",[1]Header!N10)</f>
        <v>42940</v>
      </c>
      <c r="D5" s="204"/>
      <c r="E5" s="61" t="s">
        <v>78</v>
      </c>
      <c r="F5" s="205" t="str">
        <f>IF(ISBLANK([1]Header!H18),"",[1]Header!H18)</f>
        <v>SE - PROJ MAN, KW - QUALITY, TL - MAN ENG, KH - DESIGN</v>
      </c>
      <c r="G5" s="205"/>
      <c r="H5" s="205"/>
      <c r="I5" s="205"/>
      <c r="J5" s="205"/>
      <c r="K5" s="205"/>
      <c r="L5" s="205"/>
      <c r="M5" s="205"/>
      <c r="N5" s="205"/>
      <c r="O5" s="31" t="s">
        <v>45</v>
      </c>
      <c r="P5" s="65" t="str">
        <f>IF(ISBLANK('[1]Process Flow'!G6),"",'[1]Process Flow'!G6)</f>
        <v>1 of 1</v>
      </c>
    </row>
    <row r="6" spans="1:16" s="60" customFormat="1" x14ac:dyDescent="0.2">
      <c r="A6" s="193"/>
      <c r="B6" s="194"/>
      <c r="C6" s="194"/>
      <c r="D6" s="194"/>
      <c r="E6" s="194"/>
      <c r="F6" s="194"/>
      <c r="G6" s="194"/>
      <c r="H6" s="194"/>
      <c r="I6" s="194"/>
      <c r="J6" s="194"/>
      <c r="K6" s="195"/>
      <c r="L6" s="194"/>
      <c r="M6" s="194"/>
      <c r="N6" s="196"/>
      <c r="O6" s="196"/>
      <c r="P6" s="66"/>
    </row>
    <row r="7" spans="1:16" s="67" customFormat="1" x14ac:dyDescent="0.2">
      <c r="A7" s="182" t="s">
        <v>79</v>
      </c>
      <c r="B7" s="188" t="s">
        <v>80</v>
      </c>
      <c r="C7" s="188" t="s">
        <v>81</v>
      </c>
      <c r="D7" s="174" t="s">
        <v>82</v>
      </c>
      <c r="E7" s="175"/>
      <c r="F7" s="176"/>
      <c r="G7" s="182" t="s">
        <v>83</v>
      </c>
      <c r="H7" s="174" t="s">
        <v>84</v>
      </c>
      <c r="I7" s="175"/>
      <c r="J7" s="175"/>
      <c r="K7" s="175"/>
      <c r="L7" s="175"/>
      <c r="M7" s="175"/>
      <c r="N7" s="176"/>
      <c r="O7" s="177" t="s">
        <v>85</v>
      </c>
      <c r="P7" s="178"/>
    </row>
    <row r="8" spans="1:16" s="67" customFormat="1" ht="12.75" customHeight="1" x14ac:dyDescent="0.2">
      <c r="A8" s="182"/>
      <c r="B8" s="188"/>
      <c r="C8" s="188"/>
      <c r="D8" s="181" t="s">
        <v>86</v>
      </c>
      <c r="E8" s="184" t="s">
        <v>87</v>
      </c>
      <c r="F8" s="184" t="s">
        <v>88</v>
      </c>
      <c r="G8" s="182"/>
      <c r="H8" s="187" t="s">
        <v>89</v>
      </c>
      <c r="I8" s="187" t="s">
        <v>90</v>
      </c>
      <c r="J8" s="181" t="s">
        <v>91</v>
      </c>
      <c r="K8" s="190" t="s">
        <v>92</v>
      </c>
      <c r="L8" s="191"/>
      <c r="M8" s="192" t="s">
        <v>93</v>
      </c>
      <c r="N8" s="191"/>
      <c r="O8" s="179"/>
      <c r="P8" s="180"/>
    </row>
    <row r="9" spans="1:16" s="67" customFormat="1" x14ac:dyDescent="0.2">
      <c r="A9" s="182"/>
      <c r="B9" s="188"/>
      <c r="C9" s="188"/>
      <c r="D9" s="182"/>
      <c r="E9" s="185"/>
      <c r="F9" s="185"/>
      <c r="G9" s="182"/>
      <c r="H9" s="188"/>
      <c r="I9" s="188"/>
      <c r="J9" s="182"/>
      <c r="K9" s="172" t="s">
        <v>94</v>
      </c>
      <c r="L9" s="172" t="s">
        <v>95</v>
      </c>
      <c r="M9" s="172" t="s">
        <v>12</v>
      </c>
      <c r="N9" s="172" t="s">
        <v>10</v>
      </c>
      <c r="O9" s="172" t="s">
        <v>12</v>
      </c>
      <c r="P9" s="172" t="s">
        <v>10</v>
      </c>
    </row>
    <row r="10" spans="1:16" s="67" customFormat="1" x14ac:dyDescent="0.2">
      <c r="A10" s="183"/>
      <c r="B10" s="189"/>
      <c r="C10" s="189"/>
      <c r="D10" s="183"/>
      <c r="E10" s="186"/>
      <c r="F10" s="186"/>
      <c r="G10" s="183"/>
      <c r="H10" s="189"/>
      <c r="I10" s="189"/>
      <c r="J10" s="183"/>
      <c r="K10" s="173"/>
      <c r="L10" s="173"/>
      <c r="M10" s="173"/>
      <c r="N10" s="173"/>
      <c r="O10" s="173"/>
      <c r="P10" s="173"/>
    </row>
    <row r="11" spans="1:16" s="71" customFormat="1" hidden="1" x14ac:dyDescent="0.2">
      <c r="A11" s="68"/>
      <c r="B11" s="69"/>
      <c r="C11" s="70"/>
      <c r="D11" s="68">
        <f>[1]PFMEA!C13</f>
        <v>0</v>
      </c>
      <c r="E11" s="70"/>
      <c r="F11" s="69">
        <f>[1]PFMEA!B13</f>
        <v>0</v>
      </c>
      <c r="G11" s="69">
        <f>[1]PFMEA!G13</f>
        <v>0</v>
      </c>
      <c r="H11" s="70"/>
      <c r="I11" s="70"/>
      <c r="J11" s="70"/>
      <c r="K11" s="70"/>
      <c r="L11" s="70"/>
      <c r="M11" s="69" t="str">
        <f>[1]PFMEA!J13</f>
        <v>None</v>
      </c>
      <c r="N11" s="69" t="str">
        <f>[1]PFMEA!K13</f>
        <v>None</v>
      </c>
      <c r="O11" s="70"/>
      <c r="P11" s="70"/>
    </row>
    <row r="12" spans="1:16" s="73" customFormat="1" ht="1.5" customHeight="1" x14ac:dyDescent="0.2">
      <c r="A12" s="72"/>
      <c r="D12" s="72"/>
    </row>
    <row r="13" spans="1:16" s="71" customFormat="1" ht="51" x14ac:dyDescent="0.2">
      <c r="A13" s="169">
        <f>'[1]Process Flow'!D14</f>
        <v>10</v>
      </c>
      <c r="B13" s="170" t="str">
        <f>IF(ISBLANK('[1]Process Flow'!C14),"",'[1]Process Flow'!C14)</f>
        <v>Bend 34.9mm lower pipe</v>
      </c>
      <c r="C13" s="171"/>
      <c r="D13" s="169">
        <f>[1]PFMEA!C15</f>
        <v>10</v>
      </c>
      <c r="E13" s="171"/>
      <c r="F13" s="170" t="str">
        <f>[1]PFMEA!B15</f>
        <v xml:space="preserve">Pipe formed to bend gauge </v>
      </c>
      <c r="G13" s="74" t="str">
        <f>[1]PFMEA!G15</f>
        <v>OTH</v>
      </c>
      <c r="H13" s="75" t="s">
        <v>96</v>
      </c>
      <c r="I13" s="75" t="s">
        <v>97</v>
      </c>
      <c r="J13" s="75"/>
      <c r="K13" s="75">
        <v>1</v>
      </c>
      <c r="L13" s="75" t="s">
        <v>98</v>
      </c>
      <c r="M13" s="74" t="str">
        <f>[1]PFMEA!J15</f>
        <v xml:space="preserve">SOP. Skills matrix. </v>
      </c>
      <c r="N13" s="74" t="str">
        <f>[1]PFMEA!K15</f>
        <v>1st off &amp; 4 off checks in bend inspection gauge per shift</v>
      </c>
      <c r="O13" s="75"/>
      <c r="P13" s="75"/>
    </row>
    <row r="14" spans="1:16" s="71" customFormat="1" ht="51" x14ac:dyDescent="0.2">
      <c r="A14" s="169"/>
      <c r="B14" s="170"/>
      <c r="C14" s="171"/>
      <c r="D14" s="169"/>
      <c r="E14" s="171"/>
      <c r="F14" s="170"/>
      <c r="G14" s="69" t="str">
        <f>[1]PFMEA!G16</f>
        <v>OTH</v>
      </c>
      <c r="H14" s="76" t="s">
        <v>99</v>
      </c>
      <c r="I14" s="70" t="s">
        <v>100</v>
      </c>
      <c r="J14" s="70"/>
      <c r="K14" s="70">
        <v>1</v>
      </c>
      <c r="L14" s="75" t="s">
        <v>98</v>
      </c>
      <c r="M14" s="69" t="str">
        <f>[1]PFMEA!J16</f>
        <v xml:space="preserve">SOP. Skills matrix. </v>
      </c>
      <c r="N14" s="69" t="str">
        <f>[1]PFMEA!K16</f>
        <v>1st off &amp; 4 off checks in bend inspection gauge per shift</v>
      </c>
      <c r="O14" s="70"/>
      <c r="P14" s="70"/>
    </row>
    <row r="15" spans="1:16" s="71" customFormat="1" ht="51" x14ac:dyDescent="0.2">
      <c r="A15" s="169"/>
      <c r="B15" s="170"/>
      <c r="C15" s="171"/>
      <c r="D15" s="169"/>
      <c r="E15" s="171"/>
      <c r="F15" s="170"/>
      <c r="G15" s="69" t="str">
        <f>[1]PFMEA!G17</f>
        <v>CC</v>
      </c>
      <c r="H15" s="70" t="s">
        <v>101</v>
      </c>
      <c r="I15" s="70" t="s">
        <v>97</v>
      </c>
      <c r="J15" s="70"/>
      <c r="K15" s="70" t="s">
        <v>102</v>
      </c>
      <c r="L15" s="77">
        <v>1</v>
      </c>
      <c r="M15" s="69" t="str">
        <f>[1]PFMEA!J17</f>
        <v xml:space="preserve">SOP. Skills matrix. </v>
      </c>
      <c r="N15" s="69" t="str">
        <f>[1]PFMEA!K17</f>
        <v>Visual check.  100% leak test on future operation</v>
      </c>
      <c r="O15" s="70"/>
      <c r="P15" s="70"/>
    </row>
    <row r="16" spans="1:16" s="71" customFormat="1" ht="51" x14ac:dyDescent="0.2">
      <c r="A16" s="169"/>
      <c r="B16" s="170"/>
      <c r="C16" s="171"/>
      <c r="D16" s="169"/>
      <c r="E16" s="171"/>
      <c r="F16" s="170"/>
      <c r="G16" s="69" t="str">
        <f>[1]PFMEA!G18</f>
        <v>CC</v>
      </c>
      <c r="H16" s="70" t="s">
        <v>103</v>
      </c>
      <c r="I16" s="70" t="s">
        <v>97</v>
      </c>
      <c r="J16" s="70"/>
      <c r="K16" s="70">
        <v>1</v>
      </c>
      <c r="L16" s="75" t="s">
        <v>98</v>
      </c>
      <c r="M16" s="69" t="str">
        <f>[1]PFMEA!J18</f>
        <v xml:space="preserve">SOP. Skills matrix. </v>
      </c>
      <c r="N16" s="69" t="str">
        <f>[1]PFMEA!K18</f>
        <v>Visual check.  100% leak test on future operation</v>
      </c>
      <c r="O16" s="70"/>
      <c r="P16" s="70"/>
    </row>
    <row r="17" spans="1:18" s="71" customFormat="1" ht="38.25" x14ac:dyDescent="0.2">
      <c r="A17" s="169"/>
      <c r="B17" s="170"/>
      <c r="C17" s="171"/>
      <c r="D17" s="169"/>
      <c r="E17" s="171"/>
      <c r="F17" s="170"/>
      <c r="G17" s="69" t="str">
        <f>[1]PFMEA!G19</f>
        <v>OTH</v>
      </c>
      <c r="H17" s="70" t="s">
        <v>104</v>
      </c>
      <c r="I17" s="70" t="s">
        <v>97</v>
      </c>
      <c r="J17" s="70"/>
      <c r="K17" s="70" t="s">
        <v>102</v>
      </c>
      <c r="L17" s="77">
        <v>1</v>
      </c>
      <c r="M17" s="69" t="str">
        <f>[1]PFMEA!J19</f>
        <v xml:space="preserve">SOP. Skills matrix. </v>
      </c>
      <c r="N17" s="69" t="str">
        <f>[1]PFMEA!K19</f>
        <v>Double visual inspection</v>
      </c>
      <c r="O17" s="70"/>
      <c r="P17" s="70"/>
    </row>
    <row r="18" spans="1:18" s="71" customFormat="1" ht="25.5" x14ac:dyDescent="0.2">
      <c r="A18" s="169"/>
      <c r="B18" s="170"/>
      <c r="C18" s="171"/>
      <c r="D18" s="169"/>
      <c r="E18" s="171"/>
      <c r="F18" s="170"/>
      <c r="G18" s="69" t="str">
        <f>[1]PFMEA!G20</f>
        <v>OTH</v>
      </c>
      <c r="H18" s="70" t="s">
        <v>105</v>
      </c>
      <c r="I18" s="70" t="s">
        <v>97</v>
      </c>
      <c r="J18" s="70"/>
      <c r="K18" s="70">
        <v>1</v>
      </c>
      <c r="L18" s="75" t="s">
        <v>98</v>
      </c>
      <c r="M18" s="69" t="str">
        <f>[1]PFMEA!J20</f>
        <v xml:space="preserve">SOP. Skills matrix. </v>
      </c>
      <c r="N18" s="69" t="str">
        <f>[1]PFMEA!K20</f>
        <v>Double visual inspection</v>
      </c>
      <c r="O18" s="70"/>
      <c r="P18" s="70"/>
    </row>
    <row r="19" spans="1:18" s="71" customFormat="1" ht="51.95" customHeight="1" x14ac:dyDescent="0.2">
      <c r="A19" s="165">
        <f>'[1]Process Flow'!D15</f>
        <v>20</v>
      </c>
      <c r="B19" s="166" t="str">
        <f>IF(ISBLANK('[1]Process Flow'!C15),"",'[1]Process Flow'!C15)</f>
        <v>Trim pipe to length</v>
      </c>
      <c r="C19" s="167"/>
      <c r="D19" s="168">
        <f>[1]PFMEA!C21</f>
        <v>20</v>
      </c>
      <c r="E19" s="167"/>
      <c r="F19" s="166" t="str">
        <f>[1]PFMEA!B21</f>
        <v>Pipe cut to required length</v>
      </c>
      <c r="G19" s="74" t="str">
        <f>[1]PFMEA!G21</f>
        <v>OTH</v>
      </c>
      <c r="H19" s="75" t="s">
        <v>106</v>
      </c>
      <c r="I19" s="70" t="s">
        <v>107</v>
      </c>
      <c r="J19" s="75"/>
      <c r="K19" s="70">
        <v>1</v>
      </c>
      <c r="L19" s="75" t="s">
        <v>98</v>
      </c>
      <c r="M19" s="74" t="str">
        <f>[1]PFMEA!J21</f>
        <v xml:space="preserve">SOP. Skills matrix. </v>
      </c>
      <c r="N19" s="74" t="str">
        <f>[1]PFMEA!K21</f>
        <v>1st off &amp; 4 off checks in bend inspection gauge per shift</v>
      </c>
      <c r="O19" s="75"/>
      <c r="P19" s="75"/>
    </row>
    <row r="20" spans="1:18" s="71" customFormat="1" ht="51.95" customHeight="1" x14ac:dyDescent="0.2">
      <c r="A20" s="165"/>
      <c r="B20" s="166"/>
      <c r="C20" s="167"/>
      <c r="D20" s="168"/>
      <c r="E20" s="167"/>
      <c r="F20" s="166"/>
      <c r="G20" s="69" t="str">
        <f>[1]PFMEA!G22</f>
        <v>OTH</v>
      </c>
      <c r="H20" s="70" t="s">
        <v>108</v>
      </c>
      <c r="I20" s="70" t="s">
        <v>100</v>
      </c>
      <c r="J20" s="70"/>
      <c r="K20" s="70">
        <v>1</v>
      </c>
      <c r="L20" s="75" t="s">
        <v>98</v>
      </c>
      <c r="M20" s="69" t="str">
        <f>[1]PFMEA!J22</f>
        <v xml:space="preserve">SOP. Skills matrix. </v>
      </c>
      <c r="N20" s="69" t="str">
        <f>[1]PFMEA!K22</f>
        <v>1st off &amp; 4 off checks in bend inspection gauge per shift</v>
      </c>
      <c r="O20" s="70"/>
      <c r="P20" s="70"/>
    </row>
    <row r="21" spans="1:18" s="71" customFormat="1" ht="51.95" customHeight="1" x14ac:dyDescent="0.2">
      <c r="A21" s="165"/>
      <c r="B21" s="166"/>
      <c r="C21" s="167"/>
      <c r="D21" s="165"/>
      <c r="E21" s="167"/>
      <c r="F21" s="166"/>
      <c r="G21" s="69" t="str">
        <f>[1]PFMEA!G23</f>
        <v>OTH</v>
      </c>
      <c r="H21" s="75" t="s">
        <v>106</v>
      </c>
      <c r="I21" s="70" t="s">
        <v>107</v>
      </c>
      <c r="J21" s="70"/>
      <c r="K21" s="70">
        <v>1</v>
      </c>
      <c r="L21" s="75" t="s">
        <v>98</v>
      </c>
      <c r="M21" s="69" t="str">
        <f>[1]PFMEA!J23</f>
        <v xml:space="preserve">SOP. Skills matrix. </v>
      </c>
      <c r="N21" s="69" t="str">
        <f>[1]PFMEA!K23</f>
        <v>1st off &amp; 4 off checks in bend inspection gauge per shift</v>
      </c>
      <c r="O21" s="70"/>
      <c r="P21" s="70"/>
    </row>
    <row r="22" spans="1:18" s="71" customFormat="1" ht="51.95" customHeight="1" x14ac:dyDescent="0.2">
      <c r="A22" s="165"/>
      <c r="B22" s="166"/>
      <c r="C22" s="167"/>
      <c r="D22" s="165"/>
      <c r="E22" s="167"/>
      <c r="F22" s="166"/>
      <c r="G22" s="69" t="str">
        <f>[1]PFMEA!G24</f>
        <v>OTH</v>
      </c>
      <c r="H22" s="70" t="s">
        <v>108</v>
      </c>
      <c r="I22" s="70" t="s">
        <v>100</v>
      </c>
      <c r="J22" s="70"/>
      <c r="K22" s="70">
        <v>1</v>
      </c>
      <c r="L22" s="75" t="s">
        <v>98</v>
      </c>
      <c r="M22" s="69" t="str">
        <f>[1]PFMEA!J24</f>
        <v xml:space="preserve">SOP. Skills matrix. </v>
      </c>
      <c r="N22" s="69" t="str">
        <f>[1]PFMEA!K24</f>
        <v>1st off &amp; 4 off checks in bend inspection gauge per shift</v>
      </c>
      <c r="O22" s="70"/>
      <c r="P22" s="70"/>
    </row>
    <row r="23" spans="1:18" ht="38.25" x14ac:dyDescent="0.2">
      <c r="A23" s="165">
        <f>'[1]Process Flow'!D16</f>
        <v>30</v>
      </c>
      <c r="B23" s="166" t="str">
        <f>IF(ISBLANK('[1]Process Flow'!C16)," ",'[1]Process Flow'!C16)</f>
        <v>De-burr</v>
      </c>
      <c r="C23" s="167"/>
      <c r="D23" s="165">
        <f>[1]PFMEA!C25</f>
        <v>30</v>
      </c>
      <c r="E23" s="167"/>
      <c r="F23" s="166" t="str">
        <f>[1]PFMEA!B25</f>
        <v>Pipe de-burred to remove burrs &amp; sharp edges</v>
      </c>
      <c r="G23" s="69" t="str">
        <f>[1]PFMEA!G25</f>
        <v>CC</v>
      </c>
      <c r="H23" s="70" t="s">
        <v>109</v>
      </c>
      <c r="I23" s="70" t="s">
        <v>97</v>
      </c>
      <c r="J23" s="70"/>
      <c r="K23" s="70" t="s">
        <v>102</v>
      </c>
      <c r="L23" s="77">
        <v>1</v>
      </c>
      <c r="M23" s="69" t="str">
        <f>[1]PFMEA!J25</f>
        <v xml:space="preserve">SOP. Skills matrix. </v>
      </c>
      <c r="N23" s="69" t="str">
        <f>[1]PFMEA!K25</f>
        <v xml:space="preserve">Double visual inspection 100%. </v>
      </c>
      <c r="O23" s="70"/>
      <c r="P23" s="70"/>
      <c r="Q23" s="71"/>
      <c r="R23" s="71"/>
    </row>
    <row r="24" spans="1:18" ht="38.25" x14ac:dyDescent="0.2">
      <c r="A24" s="165"/>
      <c r="B24" s="166"/>
      <c r="C24" s="167"/>
      <c r="D24" s="165"/>
      <c r="E24" s="167"/>
      <c r="F24" s="166"/>
      <c r="G24" s="69" t="str">
        <f>[1]PFMEA!G26</f>
        <v>CC</v>
      </c>
      <c r="H24" s="70" t="s">
        <v>103</v>
      </c>
      <c r="I24" s="70" t="s">
        <v>107</v>
      </c>
      <c r="J24" s="70"/>
      <c r="K24" s="70">
        <v>1</v>
      </c>
      <c r="L24" s="75" t="s">
        <v>98</v>
      </c>
      <c r="M24" s="69" t="str">
        <f>[1]PFMEA!J26</f>
        <v xml:space="preserve">SOP. Skills matrix. </v>
      </c>
      <c r="N24" s="69" t="str">
        <f>[1]PFMEA!K26</f>
        <v xml:space="preserve">Double visual inspection 100%. </v>
      </c>
      <c r="O24" s="70"/>
      <c r="P24" s="70"/>
      <c r="Q24" s="71"/>
      <c r="R24" s="71"/>
    </row>
    <row r="25" spans="1:18" ht="51" x14ac:dyDescent="0.2">
      <c r="A25" s="165">
        <f>'[1]Process Flow'!D17</f>
        <v>40</v>
      </c>
      <c r="B25" s="166" t="str">
        <f>IF(ISBLANK('[1]Process Flow'!C17)," ",'[1]Process Flow'!C17)</f>
        <v>Size Pipe</v>
      </c>
      <c r="C25" s="167"/>
      <c r="D25" s="165">
        <f>[1]PFMEA!C27</f>
        <v>40</v>
      </c>
      <c r="E25" s="167"/>
      <c r="F25" s="166" t="str">
        <f>[1]PFMEA!B27</f>
        <v>Pipe endformed for roundness to ensure fitment of upper pipe</v>
      </c>
      <c r="G25" s="69" t="str">
        <f>[1]PFMEA!G27</f>
        <v>OTH</v>
      </c>
      <c r="H25" s="70" t="s">
        <v>110</v>
      </c>
      <c r="I25" s="70" t="s">
        <v>97</v>
      </c>
      <c r="J25" s="70"/>
      <c r="K25" s="70" t="s">
        <v>102</v>
      </c>
      <c r="L25" s="77">
        <v>1</v>
      </c>
      <c r="M25" s="69" t="str">
        <f>[1]PFMEA!J27</f>
        <v xml:space="preserve">SOP. Skills matrix. </v>
      </c>
      <c r="N25" s="69" t="str">
        <f>[1]PFMEA!K27</f>
        <v>Cannot assemble with upper pipe for welding</v>
      </c>
      <c r="O25" s="70"/>
      <c r="P25" s="70"/>
      <c r="Q25" s="71"/>
      <c r="R25" s="71"/>
    </row>
    <row r="26" spans="1:18" ht="51" x14ac:dyDescent="0.2">
      <c r="A26" s="165"/>
      <c r="B26" s="166"/>
      <c r="C26" s="167"/>
      <c r="D26" s="165"/>
      <c r="E26" s="167"/>
      <c r="F26" s="166"/>
      <c r="G26" s="69" t="str">
        <f>[1]PFMEA!G28</f>
        <v>OTH</v>
      </c>
      <c r="H26" s="70" t="s">
        <v>111</v>
      </c>
      <c r="I26" s="70" t="s">
        <v>112</v>
      </c>
      <c r="J26" s="70"/>
      <c r="K26" s="70">
        <v>1</v>
      </c>
      <c r="L26" s="75" t="s">
        <v>98</v>
      </c>
      <c r="M26" s="69" t="str">
        <f>[1]PFMEA!J28</f>
        <v xml:space="preserve">SOP. Skills matrix. </v>
      </c>
      <c r="N26" s="69" t="str">
        <f>[1]PFMEA!K28</f>
        <v>Cannot assemble with upper pipe for welding</v>
      </c>
      <c r="O26" s="70"/>
      <c r="P26" s="70"/>
      <c r="Q26" s="71"/>
      <c r="R26" s="71"/>
    </row>
    <row r="27" spans="1:18" ht="38.25" x14ac:dyDescent="0.2">
      <c r="A27" s="165"/>
      <c r="B27" s="166"/>
      <c r="C27" s="167"/>
      <c r="D27" s="165"/>
      <c r="E27" s="167"/>
      <c r="F27" s="166"/>
      <c r="G27" s="69" t="str">
        <f>[1]PFMEA!G29</f>
        <v>OTH</v>
      </c>
      <c r="H27" s="70" t="s">
        <v>105</v>
      </c>
      <c r="I27" s="70" t="s">
        <v>97</v>
      </c>
      <c r="J27" s="70"/>
      <c r="K27" s="70" t="s">
        <v>102</v>
      </c>
      <c r="L27" s="77">
        <v>1</v>
      </c>
      <c r="M27" s="69" t="str">
        <f>[1]PFMEA!J29</f>
        <v xml:space="preserve">SOP. Skills matrix. </v>
      </c>
      <c r="N27" s="69" t="str">
        <f>[1]PFMEA!K29</f>
        <v>100% leak test on future operation</v>
      </c>
      <c r="O27" s="70"/>
      <c r="P27" s="70"/>
      <c r="Q27" s="71"/>
      <c r="R27" s="71"/>
    </row>
    <row r="28" spans="1:18" ht="25.5" x14ac:dyDescent="0.2">
      <c r="A28" s="165">
        <f>'[1]Process Flow'!D18</f>
        <v>50</v>
      </c>
      <c r="B28" s="166" t="str">
        <f>IF(ISBLANK('[1]Process Flow'!C18)," ",'[1]Process Flow'!C18)</f>
        <v>End form pipe</v>
      </c>
      <c r="C28" s="167"/>
      <c r="D28" s="165">
        <f>[1]PFMEA!C30</f>
        <v>50</v>
      </c>
      <c r="E28" s="167"/>
      <c r="F28" s="166" t="str">
        <f>[1]PFMEA!B30</f>
        <v>Lower pipe sized for outlet form to specification on hose assy and anti-siphon valve</v>
      </c>
      <c r="G28" s="69" t="str">
        <f>[1]PFMEA!G30</f>
        <v>OTH</v>
      </c>
      <c r="H28" s="70" t="s">
        <v>110</v>
      </c>
      <c r="I28" s="70" t="s">
        <v>97</v>
      </c>
      <c r="J28" s="70"/>
      <c r="K28" s="70" t="s">
        <v>102</v>
      </c>
      <c r="L28" s="77">
        <v>1</v>
      </c>
      <c r="M28" s="69" t="str">
        <f>[1]PFMEA!J30</f>
        <v xml:space="preserve">SOP. Skills matrix. </v>
      </c>
      <c r="N28" s="69" t="str">
        <f>[1]PFMEA!K30</f>
        <v>Cannot EOL leak test system</v>
      </c>
      <c r="O28" s="70"/>
      <c r="P28" s="70"/>
      <c r="Q28" s="71"/>
      <c r="R28" s="71"/>
    </row>
    <row r="29" spans="1:18" ht="65.099999999999994" customHeight="1" x14ac:dyDescent="0.2">
      <c r="A29" s="165"/>
      <c r="B29" s="166"/>
      <c r="C29" s="167"/>
      <c r="D29" s="165"/>
      <c r="E29" s="167"/>
      <c r="F29" s="166"/>
      <c r="G29" s="69" t="str">
        <f>[1]PFMEA!G31</f>
        <v>CC</v>
      </c>
      <c r="H29" s="70" t="s">
        <v>113</v>
      </c>
      <c r="I29" s="70" t="s">
        <v>97</v>
      </c>
      <c r="J29" s="70"/>
      <c r="K29" s="70" t="s">
        <v>102</v>
      </c>
      <c r="L29" s="77">
        <v>1</v>
      </c>
      <c r="M29" s="69" t="str">
        <f>[1]PFMEA!J31</f>
        <v xml:space="preserve">SOP. Skills matrix. </v>
      </c>
      <c r="N29" s="69" t="str">
        <f>[1]PFMEA!K31</f>
        <v>Cannot EOL leak test system</v>
      </c>
      <c r="O29" s="70"/>
      <c r="P29" s="70"/>
      <c r="Q29" s="71"/>
      <c r="R29" s="71"/>
    </row>
    <row r="30" spans="1:18" ht="65.099999999999994" customHeight="1" x14ac:dyDescent="0.2">
      <c r="A30" s="165"/>
      <c r="B30" s="166"/>
      <c r="C30" s="167"/>
      <c r="D30" s="165"/>
      <c r="E30" s="167"/>
      <c r="F30" s="166"/>
      <c r="G30" s="69" t="str">
        <f>[1]PFMEA!G32</f>
        <v>CC</v>
      </c>
      <c r="H30" s="70" t="s">
        <v>114</v>
      </c>
      <c r="I30" s="70" t="s">
        <v>112</v>
      </c>
      <c r="J30" s="70"/>
      <c r="K30" s="70">
        <v>1</v>
      </c>
      <c r="L30" s="75" t="s">
        <v>98</v>
      </c>
      <c r="M30" s="69" t="str">
        <f>[1]PFMEA!J32</f>
        <v>SOP. Skills matrix.</v>
      </c>
      <c r="N30" s="69" t="str">
        <f>[1]PFMEA!K32</f>
        <v>Cannot EOL leak test system</v>
      </c>
      <c r="O30" s="70"/>
      <c r="P30" s="70"/>
      <c r="Q30" s="71"/>
      <c r="R30" s="71"/>
    </row>
    <row r="31" spans="1:18" ht="51" x14ac:dyDescent="0.2">
      <c r="A31" s="165"/>
      <c r="B31" s="166"/>
      <c r="C31" s="167"/>
      <c r="D31" s="165"/>
      <c r="E31" s="167"/>
      <c r="F31" s="166"/>
      <c r="G31" s="69" t="str">
        <f>[1]PFMEA!G33</f>
        <v>OTH</v>
      </c>
      <c r="H31" s="70" t="s">
        <v>105</v>
      </c>
      <c r="I31" s="70" t="s">
        <v>97</v>
      </c>
      <c r="J31" s="70"/>
      <c r="K31" s="70" t="s">
        <v>102</v>
      </c>
      <c r="L31" s="77">
        <v>1</v>
      </c>
      <c r="M31" s="69" t="str">
        <f>[1]PFMEA!J33</f>
        <v xml:space="preserve">SOP. Skills matrix. </v>
      </c>
      <c r="N31" s="69" t="str">
        <f>[1]PFMEA!K33</f>
        <v>1st off &amp; 4 off per shift with Go-No go gauge on bend gauge</v>
      </c>
      <c r="O31" s="70"/>
      <c r="P31" s="70"/>
      <c r="Q31" s="71"/>
      <c r="R31" s="71"/>
    </row>
    <row r="32" spans="1:18" ht="51" x14ac:dyDescent="0.2">
      <c r="A32" s="165"/>
      <c r="B32" s="166"/>
      <c r="C32" s="167"/>
      <c r="D32" s="165"/>
      <c r="E32" s="167"/>
      <c r="F32" s="166"/>
      <c r="G32" s="69" t="str">
        <f>[1]PFMEA!G34</f>
        <v>OTH</v>
      </c>
      <c r="H32" s="70" t="s">
        <v>103</v>
      </c>
      <c r="I32" s="70" t="s">
        <v>107</v>
      </c>
      <c r="J32" s="70"/>
      <c r="K32" s="70">
        <v>1</v>
      </c>
      <c r="L32" s="75" t="s">
        <v>98</v>
      </c>
      <c r="M32" s="69" t="str">
        <f>[1]PFMEA!J34</f>
        <v xml:space="preserve">SOP. Skills matrix. </v>
      </c>
      <c r="N32" s="69" t="str">
        <f>[1]PFMEA!K34</f>
        <v>1st off &amp; 4 off per shift with Go-No go gauge on bend gauge</v>
      </c>
      <c r="O32" s="70"/>
      <c r="P32" s="70"/>
      <c r="Q32" s="71"/>
      <c r="R32" s="71"/>
    </row>
    <row r="33" spans="1:18" ht="38.25" x14ac:dyDescent="0.2">
      <c r="A33" s="165"/>
      <c r="B33" s="166"/>
      <c r="C33" s="167"/>
      <c r="D33" s="165"/>
      <c r="E33" s="167"/>
      <c r="F33" s="166"/>
      <c r="G33" s="69" t="str">
        <f>[1]PFMEA!G35</f>
        <v>CC</v>
      </c>
      <c r="H33" s="70" t="s">
        <v>115</v>
      </c>
      <c r="I33" s="70" t="s">
        <v>97</v>
      </c>
      <c r="J33" s="70"/>
      <c r="K33" s="77" t="s">
        <v>102</v>
      </c>
      <c r="L33" s="77">
        <v>1</v>
      </c>
      <c r="M33" s="69" t="str">
        <f>[1]PFMEA!J35</f>
        <v xml:space="preserve">SOP. Skills matrix. </v>
      </c>
      <c r="N33" s="69" t="str">
        <f>[1]PFMEA!K35</f>
        <v xml:space="preserve">Double visual inspection 100%. </v>
      </c>
      <c r="O33" s="70"/>
      <c r="P33" s="70"/>
      <c r="Q33" s="71"/>
      <c r="R33" s="71"/>
    </row>
    <row r="34" spans="1:18" ht="76.5" x14ac:dyDescent="0.2">
      <c r="A34" s="162">
        <f>'[1]Process Flow'!D19</f>
        <v>60</v>
      </c>
      <c r="B34" s="163" t="str">
        <f>IF(ISBLANK('[1]Process Flow'!C19)," ",'[1]Process Flow'!C19)</f>
        <v>Wash pipe</v>
      </c>
      <c r="C34" s="164"/>
      <c r="D34" s="162">
        <f>[1]PFMEA!C36</f>
        <v>60</v>
      </c>
      <c r="E34" s="164"/>
      <c r="F34" s="163" t="str">
        <f>[1]PFMEA!B36</f>
        <v>Pipe meets cleanliness spec : Particle size not to exceed 400 Microns /0.6MG when measured in accordance with LRLTM.30.DD.103</v>
      </c>
      <c r="G34" s="69" t="str">
        <f>[1]PFMEA!G36</f>
        <v>SC</v>
      </c>
      <c r="H34" s="70" t="s">
        <v>116</v>
      </c>
      <c r="I34" s="70" t="s">
        <v>117</v>
      </c>
      <c r="J34" s="70"/>
      <c r="K34" s="77" t="s">
        <v>118</v>
      </c>
      <c r="L34" s="77" t="s">
        <v>119</v>
      </c>
      <c r="M34" s="69" t="str">
        <f>[1]PFMEA!J36</f>
        <v xml:space="preserve">SOP. Skills matrix. </v>
      </c>
      <c r="N34" s="69" t="str">
        <f>[1]PFMEA!K36</f>
        <v xml:space="preserve">Double visual inspection 100%. </v>
      </c>
      <c r="O34" s="70"/>
      <c r="P34" s="70"/>
      <c r="Q34" s="71"/>
      <c r="R34" s="71"/>
    </row>
    <row r="35" spans="1:18" ht="51" x14ac:dyDescent="0.2">
      <c r="A35" s="162"/>
      <c r="B35" s="163"/>
      <c r="C35" s="164"/>
      <c r="D35" s="162"/>
      <c r="E35" s="164"/>
      <c r="F35" s="163"/>
      <c r="G35" s="69" t="str">
        <f>[1]PFMEA!G37</f>
        <v>OTH</v>
      </c>
      <c r="H35" s="70" t="s">
        <v>120</v>
      </c>
      <c r="I35" s="70" t="s">
        <v>121</v>
      </c>
      <c r="J35" s="70"/>
      <c r="K35" s="77" t="s">
        <v>118</v>
      </c>
      <c r="L35" s="77" t="s">
        <v>122</v>
      </c>
      <c r="M35" s="69" t="str">
        <f>[1]PFMEA!J37</f>
        <v>SOP. Skills matrix.</v>
      </c>
      <c r="N35" s="69" t="str">
        <f>[1]PFMEA!K37</f>
        <v xml:space="preserve">Double visual inspection 100%. </v>
      </c>
      <c r="O35" s="70"/>
      <c r="P35" s="70"/>
      <c r="Q35" s="71"/>
      <c r="R35" s="71"/>
    </row>
    <row r="36" spans="1:18" ht="51" x14ac:dyDescent="0.2">
      <c r="A36" s="162"/>
      <c r="B36" s="163"/>
      <c r="C36" s="164"/>
      <c r="D36" s="162"/>
      <c r="E36" s="164"/>
      <c r="F36" s="163"/>
      <c r="G36" s="69" t="str">
        <f>[1]PFMEA!G38</f>
        <v>OTH</v>
      </c>
      <c r="H36" s="70" t="s">
        <v>123</v>
      </c>
      <c r="I36" s="70" t="s">
        <v>121</v>
      </c>
      <c r="J36" s="70"/>
      <c r="K36" s="77" t="s">
        <v>118</v>
      </c>
      <c r="L36" s="77" t="s">
        <v>122</v>
      </c>
      <c r="M36" s="69" t="str">
        <f>[1]PFMEA!J38</f>
        <v xml:space="preserve">SOP. Skills matrix. </v>
      </c>
      <c r="N36" s="69" t="str">
        <f>[1]PFMEA!K38</f>
        <v xml:space="preserve">Double visual inspection 100%. </v>
      </c>
      <c r="O36" s="70"/>
      <c r="P36" s="70"/>
      <c r="Q36" s="71"/>
      <c r="R36" s="71"/>
    </row>
  </sheetData>
  <sheetProtection selectLockedCells="1"/>
  <mergeCells count="83">
    <mergeCell ref="N1:O1"/>
    <mergeCell ref="A1:B1"/>
    <mergeCell ref="C1:D1"/>
    <mergeCell ref="F1:H1"/>
    <mergeCell ref="I1:J1"/>
    <mergeCell ref="K1:M1"/>
    <mergeCell ref="A2:B2"/>
    <mergeCell ref="C2:D2"/>
    <mergeCell ref="F2:H2"/>
    <mergeCell ref="N2:O2"/>
    <mergeCell ref="A3:B3"/>
    <mergeCell ref="C3:D3"/>
    <mergeCell ref="F3:L3"/>
    <mergeCell ref="N3:O3"/>
    <mergeCell ref="A4:B4"/>
    <mergeCell ref="C4:D4"/>
    <mergeCell ref="E4:F4"/>
    <mergeCell ref="G4:M4"/>
    <mergeCell ref="A5:B5"/>
    <mergeCell ref="C5:D5"/>
    <mergeCell ref="F5:N5"/>
    <mergeCell ref="A7:A10"/>
    <mergeCell ref="B7:B10"/>
    <mergeCell ref="C7:C10"/>
    <mergeCell ref="D7:F7"/>
    <mergeCell ref="G7:G10"/>
    <mergeCell ref="A6:B6"/>
    <mergeCell ref="C6:D6"/>
    <mergeCell ref="E6:J6"/>
    <mergeCell ref="K6:M6"/>
    <mergeCell ref="N6:O6"/>
    <mergeCell ref="P9:P10"/>
    <mergeCell ref="H7:N7"/>
    <mergeCell ref="O7:P8"/>
    <mergeCell ref="D8:D10"/>
    <mergeCell ref="E8:E10"/>
    <mergeCell ref="F8:F10"/>
    <mergeCell ref="H8:H10"/>
    <mergeCell ref="I8:I10"/>
    <mergeCell ref="J8:J10"/>
    <mergeCell ref="K8:L8"/>
    <mergeCell ref="M8:N8"/>
    <mergeCell ref="K9:K10"/>
    <mergeCell ref="L9:L10"/>
    <mergeCell ref="M9:M10"/>
    <mergeCell ref="N9:N10"/>
    <mergeCell ref="O9:O10"/>
    <mergeCell ref="F19:F22"/>
    <mergeCell ref="A13:A18"/>
    <mergeCell ref="B13:B18"/>
    <mergeCell ref="C13:C18"/>
    <mergeCell ref="D13:D18"/>
    <mergeCell ref="E13:E18"/>
    <mergeCell ref="F13:F18"/>
    <mergeCell ref="A19:A22"/>
    <mergeCell ref="B19:B22"/>
    <mergeCell ref="C19:C22"/>
    <mergeCell ref="D19:D22"/>
    <mergeCell ref="E19:E22"/>
    <mergeCell ref="F25:F27"/>
    <mergeCell ref="A23:A24"/>
    <mergeCell ref="B23:B24"/>
    <mergeCell ref="C23:C24"/>
    <mergeCell ref="D23:D24"/>
    <mergeCell ref="E23:E24"/>
    <mergeCell ref="F23:F24"/>
    <mergeCell ref="A25:A27"/>
    <mergeCell ref="B25:B27"/>
    <mergeCell ref="C25:C27"/>
    <mergeCell ref="D25:D27"/>
    <mergeCell ref="E25:E27"/>
    <mergeCell ref="F34:F36"/>
    <mergeCell ref="A28:A33"/>
    <mergeCell ref="B28:B33"/>
    <mergeCell ref="C28:C33"/>
    <mergeCell ref="D28:D33"/>
    <mergeCell ref="E28:E33"/>
    <mergeCell ref="F28:F33"/>
    <mergeCell ref="A34:A36"/>
    <mergeCell ref="B34:B36"/>
    <mergeCell ref="C34:C36"/>
    <mergeCell ref="D34:D36"/>
    <mergeCell ref="E34:E36"/>
  </mergeCells>
  <pageMargins left="0.39370078740157483" right="0.19685039370078741" top="0.39370078740157483" bottom="0.19685039370078741" header="0.19685039370078741" footer="0.19685039370078741"/>
  <pageSetup paperSize="9" scale="70" fitToHeight="21" orientation="landscape" horizontalDpi="4294967293" r:id="rId1"/>
  <headerFooter alignWithMargins="0">
    <oddHeader>&amp;R&amp;P of &amp;N</oddHeader>
    <oddFooter>&amp;R&amp;F&amp;LUNIPART POWERTRAIN APPLICATIONS</oddFooter>
  </headerFooter>
  <drawing r:id="rId2"/>
  <legacyDrawing r:id="rId3"/>
  <oleObjects>
    <mc:AlternateContent xmlns:mc="http://schemas.openxmlformats.org/markup-compatibility/2006">
      <mc:Choice Requires="x14">
        <oleObject progId="FLW3Drawing" shapeId="5121" r:id="rId4">
          <objectPr defaultSize="0" autoPict="0" r:id="rId5">
            <anchor moveWithCells="1" sizeWithCells="1">
              <from>
                <xdr:col>9</xdr:col>
                <xdr:colOff>323850</xdr:colOff>
                <xdr:row>0</xdr:row>
                <xdr:rowOff>38100</xdr:rowOff>
              </from>
              <to>
                <xdr:col>9</xdr:col>
                <xdr:colOff>323850</xdr:colOff>
                <xdr:row>1</xdr:row>
                <xdr:rowOff>28575</xdr:rowOff>
              </to>
            </anchor>
          </objectPr>
        </oleObject>
      </mc:Choice>
      <mc:Fallback>
        <oleObject progId="FLW3Drawing" shapeId="5121" r:id="rId4"/>
      </mc:Fallback>
    </mc:AlternateContent>
  </oleObjects>
  <controls>
    <mc:AlternateContent xmlns:mc="http://schemas.openxmlformats.org/markup-compatibility/2006">
      <mc:Choice Requires="x14">
        <control shapeId="5122" r:id="rId6" name="CommandButton1">
          <controlPr defaultSize="0" print="0" autoLine="0" r:id="rId7">
            <anchor moveWithCells="1" sizeWithCells="1">
              <from>
                <xdr:col>2</xdr:col>
                <xdr:colOff>542925</xdr:colOff>
                <xdr:row>5</xdr:row>
                <xdr:rowOff>104775</xdr:rowOff>
              </from>
              <to>
                <xdr:col>3</xdr:col>
                <xdr:colOff>133350</xdr:colOff>
                <xdr:row>6</xdr:row>
                <xdr:rowOff>133350</xdr:rowOff>
              </to>
            </anchor>
          </controlPr>
        </control>
      </mc:Choice>
      <mc:Fallback>
        <control shapeId="5122" r:id="rId6" name="CommandButton1"/>
      </mc:Fallback>
    </mc:AlternateContent>
    <mc:AlternateContent xmlns:mc="http://schemas.openxmlformats.org/markup-compatibility/2006">
      <mc:Choice Requires="x14">
        <control shapeId="5123" r:id="rId8" name="CommandButton2">
          <controlPr defaultSize="0" print="0" autoLine="0" r:id="rId9">
            <anchor moveWithCells="1" sizeWithCells="1">
              <from>
                <xdr:col>4</xdr:col>
                <xdr:colOff>66675</xdr:colOff>
                <xdr:row>5</xdr:row>
                <xdr:rowOff>95250</xdr:rowOff>
              </from>
              <to>
                <xdr:col>4</xdr:col>
                <xdr:colOff>495300</xdr:colOff>
                <xdr:row>6</xdr:row>
                <xdr:rowOff>123825</xdr:rowOff>
              </to>
            </anchor>
          </controlPr>
        </control>
      </mc:Choice>
      <mc:Fallback>
        <control shapeId="5123" r:id="rId8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Header</vt:lpstr>
      <vt:lpstr>Process Flow</vt:lpstr>
      <vt:lpstr>pfmea</vt:lpstr>
      <vt:lpstr>Control Plan</vt:lpstr>
      <vt:lpstr>Header!Print_Area</vt:lpstr>
      <vt:lpstr>'Process Flow'!Print_Area</vt:lpstr>
      <vt:lpstr>'Control Plan'!Print_Titles</vt:lpstr>
    </vt:vector>
  </TitlesOfParts>
  <Company>Unipart Powertrain Applications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Alison Coleman</dc:creator>
  <cp:lastModifiedBy>Ian Wilson</cp:lastModifiedBy>
  <dcterms:created xsi:type="dcterms:W3CDTF">2018-01-23T12:23:49Z</dcterms:created>
  <dcterms:modified xsi:type="dcterms:W3CDTF">2018-01-23T14:00:37Z</dcterms:modified>
</cp:coreProperties>
</file>